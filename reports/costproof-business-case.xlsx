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ecutive Summary" sheetId="1" state="visible" r:id="rId3"/>
    <sheet name="Assumptions" sheetId="2" state="visible" r:id="rId4"/>
    <sheet name="Measurement Accuracy" sheetId="3" state="visible" r:id="rId5"/>
    <sheet name="Value Model" sheetId="4" state="visible" r:id="rId6"/>
    <sheet name="Sensitivit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<sst xmlns="http://schemas.openxmlformats.org/spreadsheetml/2006/main" count="124" uniqueCount="119">
  <si>
    <t xml:space="preserve">CostProof - Business Case</t>
  </si>
  <si>
    <t xml:space="preserve">Measuring cloud savings correctly. All figures regenerate from `python -m costproof.cli study`; nothing here is hardcoded.</t>
  </si>
  <si>
    <t xml:space="preserve">THE PROBLEM</t>
  </si>
  <si>
    <t xml:space="preserve">Cloud waste reached 29% of spend in 2026, its first rise in five years, while 63% of organisations run a dedicated FinOps team. Either those teams do not work, or nobody can measure whether they work.</t>
  </si>
  <si>
    <t xml:space="preserve">THE FINDING</t>
  </si>
  <si>
    <t xml:space="preserve">of actions that did nothing are reported as savings by the industry standard method</t>
  </si>
  <si>
    <t xml:space="preserve">under CostProof - same point estimate, honest uncertainty</t>
  </si>
  <si>
    <t xml:space="preserve">annual misstatement of the savings programme under the naive method</t>
  </si>
  <si>
    <t xml:space="preserve">THE RETURN</t>
  </si>
  <si>
    <t xml:space="preserve">Five-year NPV</t>
  </si>
  <si>
    <t xml:space="preserve">Benefit-to-cost ratio</t>
  </si>
  <si>
    <t xml:space="preserve">WHAT IS AND IS NOT COUNTED</t>
  </si>
  <si>
    <t xml:space="preserve">Counted: engineering time saved by not scaling techniques that do not work. Not counted: the corrected misstatement itself. Fixing a reporting error makes the budget right; it does not create cash. Booking it as a benefit would repeat exactly the error this system exists to prevent.</t>
  </si>
  <si>
    <t xml:space="preserve">Source: outputs/tables/scorecard.csv and dollar_impact.csv, produced by 117 interventions scored against known ground truth.</t>
  </si>
  <si>
    <t xml:space="preserve">Assumptions</t>
  </si>
  <si>
    <t xml:space="preserve">Blue cells are inputs you set. Yellow fill marks the levers that move the answer most. Everything else in the workbook is a formula referencing these cells.</t>
  </si>
  <si>
    <t xml:space="preserve">ESTATE</t>
  </si>
  <si>
    <t xml:space="preserve">Annual cloud spend</t>
  </si>
  <si>
    <t xml:space="preserve">From the modelled estate: 216,036 FOCUS billing rows over 18 months.</t>
  </si>
  <si>
    <t xml:space="preserve">Optimisation actions per year</t>
  </si>
  <si>
    <t xml:space="preserve">117 actions observed over 540 days, annualised.</t>
  </si>
  <si>
    <t xml:space="preserve">Share of actions with no real effect</t>
  </si>
  <si>
    <t xml:space="preserve">30 of 117 actions in the study had a true effect of exactly zero.</t>
  </si>
  <si>
    <t xml:space="preserve">MEASUREMENT PERFORMANCE (measured, not assumed)</t>
  </si>
  <si>
    <t xml:space="preserve">False-positive rate - naive before/after</t>
  </si>
  <si>
    <t xml:space="preserve">Share of zero-effect actions the industry method declares a significant saving.</t>
  </si>
  <si>
    <t xml:space="preserve">False-positive rate - CostProof</t>
  </si>
  <si>
    <t xml:space="preserve">Same measurement, difference-in-differences with randomization inference.</t>
  </si>
  <si>
    <t xml:space="preserve">COST OF ACTING ON A FALSE POSITIVE</t>
  </si>
  <si>
    <t xml:space="preserve">Engineering hours to scale a practice</t>
  </si>
  <si>
    <t xml:space="preserve">A technique believed to work gets applied to more resources, written into a runbook and taught. Set to your team's actual rollout effort.</t>
  </si>
  <si>
    <t xml:space="preserve">Fully loaded engineering cost per hour</t>
  </si>
  <si>
    <t xml:space="preserve">Salary, benefits, overhead. Adjust to your organisation.</t>
  </si>
  <si>
    <t xml:space="preserve">Times a believed-good practice is reapplied</t>
  </si>
  <si>
    <t xml:space="preserve">How many further resources receive a technique once it is thought to work.</t>
  </si>
  <si>
    <t xml:space="preserve">PROGRAMME COST</t>
  </si>
  <si>
    <t xml:space="preserve">Implementation - one time</t>
  </si>
  <si>
    <t xml:space="preserve">Integrate the billing feed, map the change log, validate against a known period.</t>
  </si>
  <si>
    <t xml:space="preserve">Analyst hours per month to operate</t>
  </si>
  <si>
    <t xml:space="preserve">Reviewing the queue, approving remediations, investigating failed validity checks.</t>
  </si>
  <si>
    <t xml:space="preserve">Fully loaded analyst cost per hour</t>
  </si>
  <si>
    <t xml:space="preserve">Salary, benefits, overhead.</t>
  </si>
  <si>
    <t xml:space="preserve">Compute and storage per year</t>
  </si>
  <si>
    <t xml:space="preserve">DuckDB runs on a single machine; this is object storage plus the model calls.</t>
  </si>
  <si>
    <t xml:space="preserve">FINANCE</t>
  </si>
  <si>
    <t xml:space="preserve">Discount rate</t>
  </si>
  <si>
    <t xml:space="preserve">Weighted average cost of capital. Set to your firm's rate.</t>
  </si>
  <si>
    <t xml:space="preserve">Evaluation horizon (years)</t>
  </si>
  <si>
    <t xml:space="preserve">Standard for an internal tooling investment.</t>
  </si>
  <si>
    <t xml:space="preserve">Annual growth in optimisation activity</t>
  </si>
  <si>
    <t xml:space="preserve">FinOps programmes scale; more actions each year means more to measure.</t>
  </si>
  <si>
    <t xml:space="preserve">Source for all measurement figures: outputs/tables/scorecard.csv and dollar_impact.csv, regenerated by `python -m costproof.cli study`.</t>
  </si>
  <si>
    <t xml:space="preserve">Measurement Accuracy</t>
  </si>
  <si>
    <t xml:space="preserve">Four estimators scored against known ground truth over 117 interventions, 30 of which had a true effect of exactly zero.</t>
  </si>
  <si>
    <t xml:space="preserve">Method</t>
  </si>
  <si>
    <t xml:space="preserve">Bias</t>
  </si>
  <si>
    <t xml:space="preserve">RMSE</t>
  </si>
  <si>
    <t xml:space="preserve">95% coverage</t>
  </si>
  <si>
    <t xml:space="preserve">False positives</t>
  </si>
  <si>
    <t xml:space="preserve">Power</t>
  </si>
  <si>
    <t xml:space="preserve">Verdict</t>
  </si>
  <si>
    <t xml:space="preserve">Naive before/after</t>
  </si>
  <si>
    <t xml:space="preserve">Industry standard. Reports a significant saving on four in five actions that did nothing.</t>
  </si>
  <si>
    <t xml:space="preserve">DiD, cluster-robust errors</t>
  </si>
  <si>
    <t xml:space="preserve">Same point estimate as the row below. Standard errors are invalid with one treated unit.</t>
  </si>
  <si>
    <t xml:space="preserve">DiD, randomization inference</t>
  </si>
  <si>
    <t xml:space="preserve">CostProof. Identical arithmetic to the row above; only the uncertainty differs.</t>
  </si>
  <si>
    <t xml:space="preserve">Synthetic control</t>
  </si>
  <si>
    <t xml:space="preserve">No false positives at all, but detects under half of real effects.</t>
  </si>
  <si>
    <t xml:space="preserve">THE VALIDITY FILTER</t>
  </si>
  <si>
    <t xml:space="preserve">Parallel-trends test</t>
  </si>
  <si>
    <t xml:space="preserve">n</t>
  </si>
  <si>
    <t xml:space="preserve">Passes</t>
  </si>
  <si>
    <t xml:space="preserve">Fails</t>
  </si>
  <si>
    <t xml:space="preserve">Estimates that pass the validity check have less than half the error and essentially nominal interval coverage. The system knows which of its own answers to trust, and that was measured rather than asserted.</t>
  </si>
  <si>
    <t xml:space="preserve">REPORTED SAVINGS vs TRUTH (annualised)</t>
  </si>
  <si>
    <t xml:space="preserve">True saving</t>
  </si>
  <si>
    <t xml:space="preserve">Claimed</t>
  </si>
  <si>
    <t xml:space="preserve">Misstatement</t>
  </si>
  <si>
    <t xml:space="preserve">CostProof</t>
  </si>
  <si>
    <t xml:space="preserve">Value Model</t>
  </si>
  <si>
    <t xml:space="preserve">Five-year cash flows. Reported-savings accuracy is shown but deliberately excluded from NPV -- see the note at the bottom.</t>
  </si>
  <si>
    <t xml:space="preserve">Year 1</t>
  </si>
  <si>
    <t xml:space="preserve">Year 2</t>
  </si>
  <si>
    <t xml:space="preserve">Year 3</t>
  </si>
  <si>
    <t xml:space="preserve">Year 4</t>
  </si>
  <si>
    <t xml:space="preserve">Year 5</t>
  </si>
  <si>
    <t xml:space="preserve">ACTIVITY</t>
  </si>
  <si>
    <t xml:space="preserve">Optimisation actions measured</t>
  </si>
  <si>
    <t xml:space="preserve">Actions with no real effect</t>
  </si>
  <si>
    <t xml:space="preserve">BENEFIT - AVOIDED WASTED EFFORT (cash)</t>
  </si>
  <si>
    <t xml:space="preserve">    Falsely credited under naive method</t>
  </si>
  <si>
    <t xml:space="preserve">    Falsely credited under CostProof</t>
  </si>
  <si>
    <t xml:space="preserve">    False credits avoided</t>
  </si>
  <si>
    <t xml:space="preserve">    Cost of scaling one ineffective practice</t>
  </si>
  <si>
    <t xml:space="preserve">Avoided wasted effort</t>
  </si>
  <si>
    <t xml:space="preserve">    Implementation</t>
  </si>
  <si>
    <t xml:space="preserve">    Analyst time</t>
  </si>
  <si>
    <t xml:space="preserve">    Compute and storage</t>
  </si>
  <si>
    <t xml:space="preserve">Total cost</t>
  </si>
  <si>
    <t xml:space="preserve">NET CASH FLOW</t>
  </si>
  <si>
    <t xml:space="preserve">RETURNS</t>
  </si>
  <si>
    <t xml:space="preserve">Net present value</t>
  </si>
  <si>
    <t xml:space="preserve">Benefit-to-cost ratio (5yr, discounted)</t>
  </si>
  <si>
    <t xml:space="preserve">Year 1 net cash flow</t>
  </si>
  <si>
    <t xml:space="preserve">IRR is not reported: it requires a sign change in the cash flows, and this programme is cash-positive in year one. An undefined IRR is a strong result here, not a missing one.</t>
  </si>
  <si>
    <t xml:space="preserve">SHOWN BUT NOT COUNTED AS CASH</t>
  </si>
  <si>
    <t xml:space="preserve">Reduction in reported-savings misstatement</t>
  </si>
  <si>
    <t xml:space="preserve">Correcting a misstatement does not create cash -- it makes the budget right. Booking accounting accuracy as a cash benefit would repeat exactly the error this system exists to prevent, so it is excluded from the NPV above.</t>
  </si>
  <si>
    <t xml:space="preserve">Sensitivity</t>
  </si>
  <si>
    <t xml:space="preserve">Five-year NPV. Rows vary the loaded engineering rate; columns vary the share of optimisation actions that have no real effect.</t>
  </si>
  <si>
    <t xml:space="preserve">Loaded rate  \  null share</t>
  </si>
  <si>
    <t xml:space="preserve">10.0%</t>
  </si>
  <si>
    <t xml:space="preserve">15.0%</t>
  </si>
  <si>
    <t xml:space="preserve">20.0%</t>
  </si>
  <si>
    <t xml:space="preserve">25.6%</t>
  </si>
  <si>
    <t xml:space="preserve">30.0%</t>
  </si>
  <si>
    <t xml:space="preserve">35.0%</t>
  </si>
  <si>
    <t xml:space="preserve">Highlighted cell is the base case: the 25.6% null share measured in the study and a $145/hr loaded rate. Each cell discounts five years of cash flow directly, so it stays correct if the Value Model changes.</t>
  </si>
</sst>
</file>

<file path=xl/styles.xml><?xml version="1.0" encoding="utf-8"?>
<styleSheet xmlns="http://schemas.openxmlformats.org/spreadsheetml/2006/main">
  <numFmts count="8">
    <numFmt numFmtId="164" formatCode="General"/>
    <numFmt numFmtId="165" formatCode="0.0%;\(0.0%\);\-"/>
    <numFmt numFmtId="166" formatCode="\$#,##0;&quot;($&quot;#,##0\);\-"/>
    <numFmt numFmtId="167" formatCode="0.00\x"/>
    <numFmt numFmtId="168" formatCode="#,##0;\(#,##0\);\-"/>
    <numFmt numFmtId="169" formatCode="#,##0.0;\(#,##0.0\);\-"/>
    <numFmt numFmtId="170" formatCode="\$#,##0.00;&quot;($&quot;#,##0.00\);\-"/>
    <numFmt numFmtId="171" formatCode="0.0000"/>
  </numFmts>
  <fonts count="14">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0"/>
      <name val="Arial"/>
      <family val="0"/>
      <charset val="1"/>
    </font>
    <font>
      <sz val="10"/>
      <name val="Arial"/>
      <family val="0"/>
      <charset val="1"/>
    </font>
    <font>
      <b val="true"/>
      <sz val="20"/>
      <color rgb="FF1F3864"/>
      <name val="Arial"/>
      <family val="0"/>
      <charset val="1"/>
    </font>
    <font>
      <b val="true"/>
      <sz val="12"/>
      <color rgb="FF1F3864"/>
      <name val="Arial"/>
      <family val="0"/>
      <charset val="1"/>
    </font>
    <font>
      <sz val="10"/>
      <color rgb="FF0000FF"/>
      <name val="Arial"/>
      <family val="0"/>
      <charset val="1"/>
    </font>
    <font>
      <b val="true"/>
      <sz val="11"/>
      <color rgb="FFFFFFFF"/>
      <name val="Arial"/>
      <family val="0"/>
      <charset val="1"/>
    </font>
    <font>
      <b val="true"/>
      <sz val="11"/>
      <name val="Arial"/>
      <family val="0"/>
      <charset val="1"/>
    </font>
    <font>
      <sz val="10"/>
      <color rgb="FF008000"/>
      <name val="Arial"/>
      <family val="0"/>
      <charset val="1"/>
    </font>
  </fonts>
  <fills count="6">
    <fill>
      <patternFill patternType="none"/>
    </fill>
    <fill>
      <patternFill patternType="gray125"/>
    </fill>
    <fill>
      <patternFill patternType="solid">
        <fgColor rgb="FFF2F2F2"/>
        <bgColor rgb="FFE2EFDA"/>
      </patternFill>
    </fill>
    <fill>
      <patternFill patternType="solid">
        <fgColor rgb="FFFFFF00"/>
        <bgColor rgb="FFFFFF00"/>
      </patternFill>
    </fill>
    <fill>
      <patternFill patternType="solid">
        <fgColor rgb="FF1F3864"/>
        <bgColor rgb="FF333333"/>
      </patternFill>
    </fill>
    <fill>
      <patternFill patternType="solid">
        <fgColor rgb="FFE2EFDA"/>
        <bgColor rgb="FFF2F2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thin">
        <color rgb="FFBFBFBF"/>
      </top>
      <bottom style="double">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70" fontId="10" fillId="3"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71" fontId="0" fillId="5" borderId="1" xfId="0" applyFont="false" applyBorder="true" applyAlignment="true" applyProtection="false">
      <alignment horizontal="center" vertical="bottom" textRotation="0" wrapText="false" indent="0" shrinkToFit="false"/>
      <protection locked="true" hidden="false"/>
    </xf>
    <xf numFmtId="165" fontId="0" fillId="5" borderId="1" xfId="0" applyFont="false" applyBorder="true" applyAlignment="true" applyProtection="false">
      <alignment horizontal="center"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0" fillId="3"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2"/>
    <col collapsed="false" customWidth="true" hidden="false" outlineLevel="0" max="3" min="3" style="0" width="20"/>
    <col collapsed="false" customWidth="true" hidden="false" outlineLevel="0" max="4" min="4" style="0" width="4"/>
    <col collapsed="false" customWidth="true" hidden="false" outlineLevel="0" max="5" min="5" style="0" width="64"/>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15" hidden="false" customHeight="true" outlineLevel="0" collapsed="false">
      <c r="B5" s="4" t="s">
        <v>3</v>
      </c>
      <c r="C5" s="4"/>
      <c r="D5" s="4"/>
      <c r="E5" s="4"/>
    </row>
    <row r="6" customFormat="false" ht="15" hidden="false" customHeight="false" outlineLevel="0" collapsed="false">
      <c r="B6" s="4"/>
      <c r="C6" s="4"/>
      <c r="D6" s="4"/>
      <c r="E6" s="4"/>
    </row>
    <row r="7" customFormat="false" ht="15" hidden="false" customHeight="false" outlineLevel="0" collapsed="false">
      <c r="B7" s="4"/>
      <c r="C7" s="4"/>
      <c r="D7" s="4"/>
      <c r="E7" s="4"/>
    </row>
    <row r="9" customFormat="false" ht="15" hidden="false" customHeight="false" outlineLevel="0" collapsed="false">
      <c r="B9" s="3" t="s">
        <v>4</v>
      </c>
    </row>
    <row r="11" customFormat="false" ht="24.45" hidden="false" customHeight="true" outlineLevel="0" collapsed="false">
      <c r="C11" s="5" t="n">
        <f aca="false">'Measurement Accuracy'!E5</f>
        <v>0.8</v>
      </c>
      <c r="E11" s="6" t="s">
        <v>5</v>
      </c>
    </row>
    <row r="12" customFormat="false" ht="15" hidden="false" customHeight="false" outlineLevel="0" collapsed="false">
      <c r="E12" s="6"/>
    </row>
    <row r="14" customFormat="false" ht="24.45" hidden="false" customHeight="true" outlineLevel="0" collapsed="false">
      <c r="C14" s="5" t="n">
        <f aca="false">'Measurement Accuracy'!E7</f>
        <v>0.133333333333333</v>
      </c>
      <c r="E14" s="6" t="s">
        <v>6</v>
      </c>
    </row>
    <row r="15" customFormat="false" ht="15" hidden="false" customHeight="false" outlineLevel="0" collapsed="false">
      <c r="E15" s="6"/>
    </row>
    <row r="17" customFormat="false" ht="24.45" hidden="false" customHeight="true" outlineLevel="0" collapsed="false">
      <c r="C17" s="7" t="n">
        <f aca="false">-'Measurement Accuracy'!$D$20</f>
        <v>326700.124278274</v>
      </c>
      <c r="E17" s="6" t="s">
        <v>7</v>
      </c>
    </row>
    <row r="18" customFormat="false" ht="15" hidden="false" customHeight="false" outlineLevel="0" collapsed="false">
      <c r="E18" s="6"/>
    </row>
    <row r="20" customFormat="false" ht="15" hidden="false" customHeight="false" outlineLevel="0" collapsed="false">
      <c r="B20" s="3" t="s">
        <v>8</v>
      </c>
    </row>
    <row r="21" customFormat="false" ht="15" hidden="false" customHeight="false" outlineLevel="0" collapsed="false">
      <c r="B21" s="8" t="s">
        <v>9</v>
      </c>
      <c r="C21" s="9" t="n">
        <f aca="false">'Value Model'!B25</f>
        <v>557508.097987419</v>
      </c>
    </row>
    <row r="22" customFormat="false" ht="15" hidden="false" customHeight="false" outlineLevel="0" collapsed="false">
      <c r="B22" s="8" t="s">
        <v>10</v>
      </c>
      <c r="C22" s="10" t="n">
        <f aca="false">'Value Model'!B26</f>
        <v>6.2698942829599</v>
      </c>
    </row>
    <row r="24" customFormat="false" ht="15" hidden="false" customHeight="false" outlineLevel="0" collapsed="false">
      <c r="B24" s="11" t="s">
        <v>11</v>
      </c>
    </row>
    <row r="25" customFormat="false" ht="15" hidden="false" customHeight="true" outlineLevel="0" collapsed="false">
      <c r="B25" s="12" t="s">
        <v>12</v>
      </c>
      <c r="C25" s="12"/>
      <c r="D25" s="12"/>
      <c r="E25" s="12"/>
    </row>
    <row r="26" customFormat="false" ht="15" hidden="false" customHeight="false" outlineLevel="0" collapsed="false">
      <c r="B26" s="12"/>
      <c r="C26" s="12"/>
      <c r="D26" s="12"/>
      <c r="E26" s="12"/>
    </row>
    <row r="27" customFormat="false" ht="15" hidden="false" customHeight="false" outlineLevel="0" collapsed="false">
      <c r="B27" s="12"/>
      <c r="C27" s="12"/>
      <c r="D27" s="12"/>
      <c r="E27" s="12"/>
    </row>
    <row r="28" customFormat="false" ht="15" hidden="false" customHeight="false" outlineLevel="0" collapsed="false">
      <c r="B28" s="12"/>
      <c r="C28" s="12"/>
      <c r="D28" s="12"/>
      <c r="E28" s="12"/>
    </row>
    <row r="30" customFormat="false" ht="15" hidden="false" customHeight="false" outlineLevel="0" collapsed="false">
      <c r="B30" s="2" t="s">
        <v>13</v>
      </c>
    </row>
  </sheetData>
  <mergeCells count="5">
    <mergeCell ref="B5:E7"/>
    <mergeCell ref="E11:E12"/>
    <mergeCell ref="E14:E15"/>
    <mergeCell ref="E17:E18"/>
    <mergeCell ref="B25: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4"/>
    <col collapsed="false" customWidth="true" hidden="false" outlineLevel="0" max="4" min="4" style="0" width="62"/>
  </cols>
  <sheetData>
    <row r="1" customFormat="false" ht="19.7" hidden="false" customHeight="false" outlineLevel="0" collapsed="false">
      <c r="A1" s="1" t="s">
        <v>14</v>
      </c>
    </row>
    <row r="2" customFormat="false" ht="15" hidden="false" customHeight="false" outlineLevel="0" collapsed="false">
      <c r="A2" s="2" t="s">
        <v>15</v>
      </c>
    </row>
    <row r="4" customFormat="false" ht="15" hidden="false" customHeight="false" outlineLevel="0" collapsed="false">
      <c r="A4" s="13" t="s">
        <v>16</v>
      </c>
      <c r="B4" s="14"/>
      <c r="C4" s="14"/>
      <c r="D4" s="14"/>
    </row>
    <row r="5" customFormat="false" ht="15" hidden="false" customHeight="false" outlineLevel="0" collapsed="false">
      <c r="A5" s="15" t="s">
        <v>17</v>
      </c>
      <c r="B5" s="16" t="n">
        <v>9200000</v>
      </c>
      <c r="D5" s="2" t="s">
        <v>18</v>
      </c>
    </row>
    <row r="6" customFormat="false" ht="15" hidden="false" customHeight="false" outlineLevel="0" collapsed="false">
      <c r="A6" s="15" t="s">
        <v>19</v>
      </c>
      <c r="B6" s="17" t="n">
        <v>79</v>
      </c>
      <c r="D6" s="2" t="s">
        <v>20</v>
      </c>
    </row>
    <row r="7" customFormat="false" ht="15" hidden="false" customHeight="false" outlineLevel="0" collapsed="false">
      <c r="A7" s="15" t="s">
        <v>21</v>
      </c>
      <c r="B7" s="18" t="n">
        <v>0.2564</v>
      </c>
      <c r="D7" s="2" t="s">
        <v>22</v>
      </c>
    </row>
    <row r="9" customFormat="false" ht="15" hidden="false" customHeight="false" outlineLevel="0" collapsed="false">
      <c r="A9" s="13" t="s">
        <v>23</v>
      </c>
      <c r="B9" s="14"/>
      <c r="C9" s="14"/>
      <c r="D9" s="14"/>
    </row>
    <row r="10" customFormat="false" ht="15" hidden="false" customHeight="false" outlineLevel="0" collapsed="false">
      <c r="A10" s="15" t="s">
        <v>24</v>
      </c>
      <c r="B10" s="19" t="n">
        <v>0.8</v>
      </c>
      <c r="D10" s="2" t="s">
        <v>25</v>
      </c>
    </row>
    <row r="11" customFormat="false" ht="15" hidden="false" customHeight="false" outlineLevel="0" collapsed="false">
      <c r="A11" s="15" t="s">
        <v>26</v>
      </c>
      <c r="B11" s="19" t="n">
        <v>0.1333</v>
      </c>
      <c r="D11" s="2" t="s">
        <v>27</v>
      </c>
    </row>
    <row r="13" customFormat="false" ht="15" hidden="false" customHeight="false" outlineLevel="0" collapsed="false">
      <c r="A13" s="13" t="s">
        <v>28</v>
      </c>
      <c r="B13" s="14"/>
      <c r="C13" s="14"/>
      <c r="D13" s="14"/>
    </row>
    <row r="14" customFormat="false" ht="15" hidden="false" customHeight="false" outlineLevel="0" collapsed="false">
      <c r="A14" s="15" t="s">
        <v>29</v>
      </c>
      <c r="B14" s="20" t="n">
        <v>24</v>
      </c>
      <c r="D14" s="2" t="s">
        <v>30</v>
      </c>
    </row>
    <row r="15" customFormat="false" ht="15" hidden="false" customHeight="false" outlineLevel="0" collapsed="false">
      <c r="A15" s="15" t="s">
        <v>31</v>
      </c>
      <c r="B15" s="21" t="n">
        <v>145</v>
      </c>
      <c r="D15" s="2" t="s">
        <v>32</v>
      </c>
    </row>
    <row r="16" customFormat="false" ht="15" hidden="false" customHeight="false" outlineLevel="0" collapsed="false">
      <c r="A16" s="15" t="s">
        <v>33</v>
      </c>
      <c r="B16" s="20" t="n">
        <v>3</v>
      </c>
      <c r="D16" s="2" t="s">
        <v>34</v>
      </c>
    </row>
    <row r="18" customFormat="false" ht="15" hidden="false" customHeight="false" outlineLevel="0" collapsed="false">
      <c r="A18" s="13" t="s">
        <v>35</v>
      </c>
      <c r="B18" s="14"/>
      <c r="C18" s="14"/>
      <c r="D18" s="14"/>
    </row>
    <row r="19" customFormat="false" ht="15" hidden="false" customHeight="false" outlineLevel="0" collapsed="false">
      <c r="A19" s="15" t="s">
        <v>36</v>
      </c>
      <c r="B19" s="16" t="n">
        <v>40000</v>
      </c>
      <c r="D19" s="2" t="s">
        <v>37</v>
      </c>
    </row>
    <row r="20" customFormat="false" ht="15" hidden="false" customHeight="false" outlineLevel="0" collapsed="false">
      <c r="A20" s="15" t="s">
        <v>38</v>
      </c>
      <c r="B20" s="20" t="n">
        <v>12</v>
      </c>
      <c r="D20" s="2" t="s">
        <v>39</v>
      </c>
    </row>
    <row r="21" customFormat="false" ht="15" hidden="false" customHeight="false" outlineLevel="0" collapsed="false">
      <c r="A21" s="15" t="s">
        <v>40</v>
      </c>
      <c r="B21" s="22" t="n">
        <v>110</v>
      </c>
      <c r="D21" s="2" t="s">
        <v>41</v>
      </c>
    </row>
    <row r="22" customFormat="false" ht="15" hidden="false" customHeight="false" outlineLevel="0" collapsed="false">
      <c r="A22" s="15" t="s">
        <v>42</v>
      </c>
      <c r="B22" s="16" t="n">
        <v>3600</v>
      </c>
      <c r="D22" s="2" t="s">
        <v>43</v>
      </c>
    </row>
    <row r="24" customFormat="false" ht="15" hidden="false" customHeight="false" outlineLevel="0" collapsed="false">
      <c r="A24" s="13" t="s">
        <v>44</v>
      </c>
      <c r="B24" s="14"/>
      <c r="C24" s="14"/>
      <c r="D24" s="14"/>
    </row>
    <row r="25" customFormat="false" ht="15" hidden="false" customHeight="false" outlineLevel="0" collapsed="false">
      <c r="A25" s="15" t="s">
        <v>45</v>
      </c>
      <c r="B25" s="18" t="n">
        <v>0.12</v>
      </c>
      <c r="D25" s="2" t="s">
        <v>46</v>
      </c>
    </row>
    <row r="26" customFormat="false" ht="15" hidden="false" customHeight="false" outlineLevel="0" collapsed="false">
      <c r="A26" s="15" t="s">
        <v>47</v>
      </c>
      <c r="B26" s="17" t="n">
        <v>5</v>
      </c>
      <c r="D26" s="2" t="s">
        <v>48</v>
      </c>
    </row>
    <row r="27" customFormat="false" ht="15" hidden="false" customHeight="false" outlineLevel="0" collapsed="false">
      <c r="A27" s="15" t="s">
        <v>49</v>
      </c>
      <c r="B27" s="19" t="n">
        <v>0.15</v>
      </c>
      <c r="D27" s="2" t="s">
        <v>50</v>
      </c>
    </row>
    <row r="29" customFormat="false" ht="15" hidden="false" customHeight="false" outlineLevel="0" collapsed="false">
      <c r="A29" s="2"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3"/>
    <col collapsed="false" customWidth="true" hidden="false" outlineLevel="0" max="4" min="4" style="0" width="15"/>
    <col collapsed="false" customWidth="true" hidden="false" outlineLevel="0" max="5" min="5" style="0" width="17"/>
    <col collapsed="false" customWidth="true" hidden="false" outlineLevel="0" max="6" min="6" style="0" width="12"/>
    <col collapsed="false" customWidth="true" hidden="false" outlineLevel="0" max="7" min="7" style="0" width="46"/>
  </cols>
  <sheetData>
    <row r="1" customFormat="false" ht="19.7" hidden="false" customHeight="false" outlineLevel="0" collapsed="false">
      <c r="A1" s="1" t="s">
        <v>52</v>
      </c>
    </row>
    <row r="2" customFormat="false" ht="15" hidden="false" customHeight="false" outlineLevel="0" collapsed="false">
      <c r="A2" s="2" t="s">
        <v>53</v>
      </c>
    </row>
    <row r="4" customFormat="false" ht="15" hidden="false" customHeight="false" outlineLevel="0" collapsed="false">
      <c r="A4" s="23" t="s">
        <v>54</v>
      </c>
      <c r="B4" s="23" t="s">
        <v>55</v>
      </c>
      <c r="C4" s="23" t="s">
        <v>56</v>
      </c>
      <c r="D4" s="23" t="s">
        <v>57</v>
      </c>
      <c r="E4" s="23" t="s">
        <v>58</v>
      </c>
      <c r="F4" s="23" t="s">
        <v>59</v>
      </c>
      <c r="G4" s="23" t="s">
        <v>60</v>
      </c>
    </row>
    <row r="5" customFormat="false" ht="22.35" hidden="false" customHeight="false" outlineLevel="0" collapsed="false">
      <c r="A5" s="24" t="s">
        <v>61</v>
      </c>
      <c r="B5" s="25" t="n">
        <v>0.0983</v>
      </c>
      <c r="C5" s="25" t="n">
        <v>0.237852694592279</v>
      </c>
      <c r="D5" s="26" t="n">
        <v>0.273504273504274</v>
      </c>
      <c r="E5" s="26" t="n">
        <v>0.8</v>
      </c>
      <c r="F5" s="26" t="n">
        <v>1</v>
      </c>
      <c r="G5" s="27" t="s">
        <v>62</v>
      </c>
    </row>
    <row r="6" customFormat="false" ht="22.35" hidden="false" customHeight="false" outlineLevel="0" collapsed="false">
      <c r="A6" s="24" t="s">
        <v>63</v>
      </c>
      <c r="B6" s="25" t="n">
        <v>0.0655</v>
      </c>
      <c r="C6" s="25" t="n">
        <v>0.198811524291339</v>
      </c>
      <c r="D6" s="26" t="n">
        <v>0.230769230769231</v>
      </c>
      <c r="E6" s="26" t="n">
        <v>0.8333</v>
      </c>
      <c r="F6" s="26" t="n">
        <v>1</v>
      </c>
      <c r="G6" s="27" t="s">
        <v>64</v>
      </c>
    </row>
    <row r="7" customFormat="false" ht="22.35" hidden="false" customHeight="false" outlineLevel="0" collapsed="false">
      <c r="A7" s="28" t="s">
        <v>65</v>
      </c>
      <c r="B7" s="29" t="n">
        <v>0.0655</v>
      </c>
      <c r="C7" s="29" t="n">
        <v>0.198811524291339</v>
      </c>
      <c r="D7" s="30" t="n">
        <v>0.914529914529914</v>
      </c>
      <c r="E7" s="30" t="n">
        <v>0.133333333333333</v>
      </c>
      <c r="F7" s="30" t="n">
        <v>0.908045977011494</v>
      </c>
      <c r="G7" s="31" t="s">
        <v>66</v>
      </c>
    </row>
    <row r="8" customFormat="false" ht="15" hidden="false" customHeight="false" outlineLevel="0" collapsed="false">
      <c r="A8" s="24" t="s">
        <v>67</v>
      </c>
      <c r="B8" s="25" t="n">
        <v>0.0834</v>
      </c>
      <c r="C8" s="25" t="n">
        <v>0.2436</v>
      </c>
      <c r="D8" s="26" t="n">
        <v>0.837606837606838</v>
      </c>
      <c r="E8" s="26" t="n">
        <v>0</v>
      </c>
      <c r="F8" s="26" t="n">
        <v>0.4828</v>
      </c>
      <c r="G8" s="27" t="s">
        <v>68</v>
      </c>
    </row>
    <row r="11" customFormat="false" ht="15" hidden="false" customHeight="false" outlineLevel="0" collapsed="false">
      <c r="A11" s="3" t="s">
        <v>69</v>
      </c>
    </row>
    <row r="12" customFormat="false" ht="15" hidden="false" customHeight="false" outlineLevel="0" collapsed="false">
      <c r="A12" s="23" t="s">
        <v>70</v>
      </c>
      <c r="B12" s="23" t="s">
        <v>71</v>
      </c>
      <c r="C12" s="23" t="s">
        <v>56</v>
      </c>
      <c r="D12" s="23" t="s">
        <v>57</v>
      </c>
    </row>
    <row r="13" customFormat="false" ht="15" hidden="false" customHeight="false" outlineLevel="0" collapsed="false">
      <c r="A13" s="24" t="s">
        <v>72</v>
      </c>
      <c r="B13" s="32" t="n">
        <v>103</v>
      </c>
      <c r="C13" s="25" t="n">
        <v>0.1513</v>
      </c>
      <c r="D13" s="26" t="n">
        <v>0.951</v>
      </c>
    </row>
    <row r="14" customFormat="false" ht="15" hidden="false" customHeight="false" outlineLevel="0" collapsed="false">
      <c r="A14" s="24" t="s">
        <v>73</v>
      </c>
      <c r="B14" s="32" t="n">
        <v>14</v>
      </c>
      <c r="C14" s="25" t="n">
        <v>0.4022</v>
      </c>
      <c r="D14" s="26" t="n">
        <v>0.643</v>
      </c>
    </row>
    <row r="16" customFormat="false" ht="15" hidden="false" customHeight="false" outlineLevel="0" collapsed="false">
      <c r="A16" s="33" t="s">
        <v>74</v>
      </c>
      <c r="B16" s="33"/>
      <c r="C16" s="33"/>
      <c r="D16" s="33"/>
      <c r="E16" s="33"/>
      <c r="F16" s="33"/>
      <c r="G16" s="33"/>
    </row>
    <row r="18" customFormat="false" ht="15" hidden="false" customHeight="false" outlineLevel="0" collapsed="false">
      <c r="A18" s="3" t="s">
        <v>75</v>
      </c>
    </row>
    <row r="19" customFormat="false" ht="15" hidden="false" customHeight="false" outlineLevel="0" collapsed="false">
      <c r="A19" s="23" t="s">
        <v>54</v>
      </c>
      <c r="B19" s="23" t="s">
        <v>76</v>
      </c>
      <c r="C19" s="23" t="s">
        <v>77</v>
      </c>
      <c r="D19" s="23" t="s">
        <v>78</v>
      </c>
    </row>
    <row r="20" customFormat="false" ht="15" hidden="false" customHeight="false" outlineLevel="0" collapsed="false">
      <c r="A20" s="24" t="s">
        <v>61</v>
      </c>
      <c r="B20" s="34" t="n">
        <v>2020441.12594542</v>
      </c>
      <c r="C20" s="34" t="n">
        <v>1693741.00166715</v>
      </c>
      <c r="D20" s="34" t="n">
        <v>-326700.124278274</v>
      </c>
    </row>
    <row r="21" customFormat="false" ht="15" hidden="false" customHeight="false" outlineLevel="0" collapsed="false">
      <c r="A21" s="24" t="s">
        <v>79</v>
      </c>
      <c r="B21" s="34" t="n">
        <v>2020441.12594542</v>
      </c>
      <c r="C21" s="34" t="n">
        <v>1809486.902302</v>
      </c>
      <c r="D21" s="34" t="n">
        <v>-210954.22364342</v>
      </c>
    </row>
  </sheetData>
  <mergeCells count="1">
    <mergeCell ref="A16:G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7" min="2" style="0" width="14"/>
    <col collapsed="false" customWidth="true" hidden="false" outlineLevel="0" max="8" min="8" style="0" width="4"/>
    <col collapsed="false" customWidth="true" hidden="false" outlineLevel="0" max="9" min="9" style="0" width="50"/>
  </cols>
  <sheetData>
    <row r="1" customFormat="false" ht="19.7" hidden="false" customHeight="false" outlineLevel="0" collapsed="false">
      <c r="A1" s="1" t="s">
        <v>80</v>
      </c>
    </row>
    <row r="2" customFormat="false" ht="15" hidden="false" customHeight="false" outlineLevel="0" collapsed="false">
      <c r="A2" s="2" t="s">
        <v>81</v>
      </c>
    </row>
    <row r="4" customFormat="false" ht="15" hidden="false" customHeight="false" outlineLevel="0" collapsed="false">
      <c r="A4" s="23"/>
      <c r="B4" s="23" t="s">
        <v>82</v>
      </c>
      <c r="C4" s="23" t="s">
        <v>83</v>
      </c>
      <c r="D4" s="23" t="s">
        <v>84</v>
      </c>
      <c r="E4" s="23" t="s">
        <v>85</v>
      </c>
      <c r="F4" s="23" t="s">
        <v>86</v>
      </c>
    </row>
    <row r="5" customFormat="false" ht="15" hidden="false" customHeight="false" outlineLevel="0" collapsed="false">
      <c r="A5" s="3" t="s">
        <v>87</v>
      </c>
      <c r="B5" s="35"/>
      <c r="C5" s="35"/>
      <c r="D5" s="35"/>
      <c r="E5" s="35"/>
      <c r="F5" s="35"/>
    </row>
    <row r="6" customFormat="false" ht="15" hidden="false" customHeight="false" outlineLevel="0" collapsed="false">
      <c r="A6" s="15" t="s">
        <v>88</v>
      </c>
      <c r="B6" s="36" t="n">
        <f aca="false">ROUND(Assumptions!$B$6*(1+Assumptions!$B$27)^0,0)</f>
        <v>79</v>
      </c>
      <c r="C6" s="36" t="n">
        <f aca="false">ROUND(Assumptions!$B$6*(1+Assumptions!$B$27)^1,0)</f>
        <v>91</v>
      </c>
      <c r="D6" s="36" t="n">
        <f aca="false">ROUND(Assumptions!$B$6*(1+Assumptions!$B$27)^2,0)</f>
        <v>104</v>
      </c>
      <c r="E6" s="36" t="n">
        <f aca="false">ROUND(Assumptions!$B$6*(1+Assumptions!$B$27)^3,0)</f>
        <v>120</v>
      </c>
      <c r="F6" s="36" t="n">
        <f aca="false">ROUND(Assumptions!$B$6*(1+Assumptions!$B$27)^4,0)</f>
        <v>138</v>
      </c>
    </row>
    <row r="7" customFormat="false" ht="15" hidden="false" customHeight="false" outlineLevel="0" collapsed="false">
      <c r="A7" s="15" t="s">
        <v>89</v>
      </c>
      <c r="B7" s="37" t="n">
        <f aca="false">B6*Assumptions!$B$7</f>
        <v>20.2556</v>
      </c>
      <c r="C7" s="37" t="n">
        <f aca="false">C6*Assumptions!$B$7</f>
        <v>23.3324</v>
      </c>
      <c r="D7" s="37" t="n">
        <f aca="false">D6*Assumptions!$B$7</f>
        <v>26.6656</v>
      </c>
      <c r="E7" s="37" t="n">
        <f aca="false">E6*Assumptions!$B$7</f>
        <v>30.768</v>
      </c>
      <c r="F7" s="37" t="n">
        <f aca="false">F6*Assumptions!$B$7</f>
        <v>35.3832</v>
      </c>
    </row>
    <row r="9" customFormat="false" ht="15" hidden="false" customHeight="false" outlineLevel="0" collapsed="false">
      <c r="A9" s="3" t="s">
        <v>90</v>
      </c>
      <c r="B9" s="35"/>
      <c r="C9" s="35"/>
      <c r="D9" s="35"/>
      <c r="E9" s="35"/>
      <c r="F9" s="35"/>
    </row>
    <row r="10" customFormat="false" ht="15" hidden="false" customHeight="false" outlineLevel="0" collapsed="false">
      <c r="A10" s="15" t="s">
        <v>91</v>
      </c>
      <c r="B10" s="37" t="n">
        <f aca="false">B7*Assumptions!$B$10</f>
        <v>16.20448</v>
      </c>
      <c r="C10" s="37" t="n">
        <f aca="false">C7*Assumptions!$B$10</f>
        <v>18.66592</v>
      </c>
      <c r="D10" s="37" t="n">
        <f aca="false">D7*Assumptions!$B$10</f>
        <v>21.33248</v>
      </c>
      <c r="E10" s="37" t="n">
        <f aca="false">E7*Assumptions!$B$10</f>
        <v>24.6144</v>
      </c>
      <c r="F10" s="37" t="n">
        <f aca="false">F7*Assumptions!$B$10</f>
        <v>28.30656</v>
      </c>
    </row>
    <row r="11" customFormat="false" ht="15" hidden="false" customHeight="false" outlineLevel="0" collapsed="false">
      <c r="A11" s="15" t="s">
        <v>92</v>
      </c>
      <c r="B11" s="37" t="n">
        <f aca="false">B7*Assumptions!$B$11</f>
        <v>2.70007148</v>
      </c>
      <c r="C11" s="37" t="n">
        <f aca="false">C7*Assumptions!$B$11</f>
        <v>3.11020892</v>
      </c>
      <c r="D11" s="37" t="n">
        <f aca="false">D7*Assumptions!$B$11</f>
        <v>3.55452448</v>
      </c>
      <c r="E11" s="37" t="n">
        <f aca="false">E7*Assumptions!$B$11</f>
        <v>4.1013744</v>
      </c>
      <c r="F11" s="37" t="n">
        <f aca="false">F7*Assumptions!$B$11</f>
        <v>4.71658056</v>
      </c>
    </row>
    <row r="12" customFormat="false" ht="15" hidden="false" customHeight="false" outlineLevel="0" collapsed="false">
      <c r="A12" s="8" t="s">
        <v>93</v>
      </c>
      <c r="B12" s="38" t="n">
        <f aca="false">B10-B11</f>
        <v>13.50440852</v>
      </c>
      <c r="C12" s="38" t="n">
        <f aca="false">C10-C11</f>
        <v>15.55571108</v>
      </c>
      <c r="D12" s="38" t="n">
        <f aca="false">D10-D11</f>
        <v>17.77795552</v>
      </c>
      <c r="E12" s="38" t="n">
        <f aca="false">E10-E11</f>
        <v>20.5130256</v>
      </c>
      <c r="F12" s="38" t="n">
        <f aca="false">F10-F11</f>
        <v>23.58997944</v>
      </c>
    </row>
    <row r="13" customFormat="false" ht="15" hidden="false" customHeight="false" outlineLevel="0" collapsed="false">
      <c r="A13" s="15" t="s">
        <v>94</v>
      </c>
      <c r="B13" s="39" t="n">
        <f aca="false">Assumptions!$B$14*Assumptions!$B$15*Assumptions!$B$16</f>
        <v>10440</v>
      </c>
      <c r="C13" s="39" t="n">
        <f aca="false">Assumptions!$B$14*Assumptions!$B$15*Assumptions!$B$16</f>
        <v>10440</v>
      </c>
      <c r="D13" s="39" t="n">
        <f aca="false">Assumptions!$B$14*Assumptions!$B$15*Assumptions!$B$16</f>
        <v>10440</v>
      </c>
      <c r="E13" s="39" t="n">
        <f aca="false">Assumptions!$B$14*Assumptions!$B$15*Assumptions!$B$16</f>
        <v>10440</v>
      </c>
      <c r="F13" s="39" t="n">
        <f aca="false">Assumptions!$B$14*Assumptions!$B$15*Assumptions!$B$16</f>
        <v>10440</v>
      </c>
    </row>
    <row r="14" customFormat="false" ht="15" hidden="false" customHeight="false" outlineLevel="0" collapsed="false">
      <c r="A14" s="8" t="s">
        <v>95</v>
      </c>
      <c r="B14" s="40" t="n">
        <f aca="false">B12*B13</f>
        <v>140986.0249488</v>
      </c>
      <c r="C14" s="40" t="n">
        <f aca="false">C12*C13</f>
        <v>162401.6236752</v>
      </c>
      <c r="D14" s="40" t="n">
        <f aca="false">D12*D13</f>
        <v>185601.8556288</v>
      </c>
      <c r="E14" s="40" t="n">
        <f aca="false">E12*E13</f>
        <v>214155.987264</v>
      </c>
      <c r="F14" s="40" t="n">
        <f aca="false">F12*F13</f>
        <v>246279.3853536</v>
      </c>
    </row>
    <row r="16" customFormat="false" ht="15" hidden="false" customHeight="false" outlineLevel="0" collapsed="false">
      <c r="A16" s="3" t="s">
        <v>35</v>
      </c>
      <c r="B16" s="35"/>
      <c r="C16" s="35"/>
      <c r="D16" s="35"/>
      <c r="E16" s="35"/>
      <c r="F16" s="35"/>
    </row>
    <row r="17" customFormat="false" ht="15" hidden="false" customHeight="false" outlineLevel="0" collapsed="false">
      <c r="A17" s="15" t="s">
        <v>96</v>
      </c>
      <c r="B17" s="39" t="n">
        <f aca="false">IF(1=1,-Assumptions!$B$19,0)</f>
        <v>-40000</v>
      </c>
      <c r="C17" s="39" t="n">
        <f aca="false">IF(2=1,-Assumptions!$B$19,0)</f>
        <v>0</v>
      </c>
      <c r="D17" s="39" t="n">
        <f aca="false">IF(3=1,-Assumptions!$B$19,0)</f>
        <v>0</v>
      </c>
      <c r="E17" s="39" t="n">
        <f aca="false">IF(4=1,-Assumptions!$B$19,0)</f>
        <v>0</v>
      </c>
      <c r="F17" s="39" t="n">
        <f aca="false">IF(5=1,-Assumptions!$B$19,0)</f>
        <v>0</v>
      </c>
    </row>
    <row r="18" customFormat="false" ht="15" hidden="false" customHeight="false" outlineLevel="0" collapsed="false">
      <c r="A18" s="15" t="s">
        <v>97</v>
      </c>
      <c r="B18" s="39" t="n">
        <f aca="false">-Assumptions!$B$20*12*Assumptions!$B$21</f>
        <v>-15840</v>
      </c>
      <c r="C18" s="39" t="n">
        <f aca="false">-Assumptions!$B$20*12*Assumptions!$B$21</f>
        <v>-15840</v>
      </c>
      <c r="D18" s="39" t="n">
        <f aca="false">-Assumptions!$B$20*12*Assumptions!$B$21</f>
        <v>-15840</v>
      </c>
      <c r="E18" s="39" t="n">
        <f aca="false">-Assumptions!$B$20*12*Assumptions!$B$21</f>
        <v>-15840</v>
      </c>
      <c r="F18" s="39" t="n">
        <f aca="false">-Assumptions!$B$20*12*Assumptions!$B$21</f>
        <v>-15840</v>
      </c>
    </row>
    <row r="19" customFormat="false" ht="15" hidden="false" customHeight="false" outlineLevel="0" collapsed="false">
      <c r="A19" s="15" t="s">
        <v>98</v>
      </c>
      <c r="B19" s="39" t="n">
        <f aca="false">-Assumptions!$B$22</f>
        <v>-3600</v>
      </c>
      <c r="C19" s="39" t="n">
        <f aca="false">-Assumptions!$B$22</f>
        <v>-3600</v>
      </c>
      <c r="D19" s="39" t="n">
        <f aca="false">-Assumptions!$B$22</f>
        <v>-3600</v>
      </c>
      <c r="E19" s="39" t="n">
        <f aca="false">-Assumptions!$B$22</f>
        <v>-3600</v>
      </c>
      <c r="F19" s="39" t="n">
        <f aca="false">-Assumptions!$B$22</f>
        <v>-3600</v>
      </c>
    </row>
    <row r="20" customFormat="false" ht="15" hidden="false" customHeight="false" outlineLevel="0" collapsed="false">
      <c r="A20" s="8" t="s">
        <v>99</v>
      </c>
      <c r="B20" s="40" t="n">
        <f aca="false">SUM(B17:B19)</f>
        <v>-59440</v>
      </c>
      <c r="C20" s="40" t="n">
        <f aca="false">SUM(C17:C19)</f>
        <v>-19440</v>
      </c>
      <c r="D20" s="40" t="n">
        <f aca="false">SUM(D17:D19)</f>
        <v>-19440</v>
      </c>
      <c r="E20" s="40" t="n">
        <f aca="false">SUM(E17:E19)</f>
        <v>-19440</v>
      </c>
      <c r="F20" s="40" t="n">
        <f aca="false">SUM(F17:F19)</f>
        <v>-19440</v>
      </c>
    </row>
    <row r="21" customFormat="false" ht="15" hidden="false" customHeight="false" outlineLevel="0" collapsed="false">
      <c r="A21" s="8" t="s">
        <v>100</v>
      </c>
      <c r="B21" s="41" t="n">
        <f aca="false">B14+B20</f>
        <v>81546.0249488</v>
      </c>
      <c r="C21" s="41" t="n">
        <f aca="false">C14+C20</f>
        <v>142961.6236752</v>
      </c>
      <c r="D21" s="41" t="n">
        <f aca="false">D14+D20</f>
        <v>166161.8556288</v>
      </c>
      <c r="E21" s="41" t="n">
        <f aca="false">E14+E20</f>
        <v>194715.987264</v>
      </c>
      <c r="F21" s="41" t="n">
        <f aca="false">F14+F20</f>
        <v>226839.3853536</v>
      </c>
    </row>
    <row r="24" customFormat="false" ht="15" hidden="false" customHeight="false" outlineLevel="0" collapsed="false">
      <c r="A24" s="3" t="s">
        <v>101</v>
      </c>
      <c r="B24" s="35"/>
      <c r="C24" s="35"/>
      <c r="D24" s="35"/>
      <c r="E24" s="35"/>
      <c r="F24" s="35"/>
    </row>
    <row r="25" customFormat="false" ht="15" hidden="false" customHeight="false" outlineLevel="0" collapsed="false">
      <c r="A25" s="8" t="s">
        <v>102</v>
      </c>
      <c r="B25" s="42" t="n">
        <f aca="false">NPV(Assumptions!$B$25,B21:F21)</f>
        <v>557508.097987419</v>
      </c>
    </row>
    <row r="26" customFormat="false" ht="15" hidden="false" customHeight="false" outlineLevel="0" collapsed="false">
      <c r="A26" s="8" t="s">
        <v>103</v>
      </c>
      <c r="B26" s="43" t="n">
        <f aca="false">NPV(Assumptions!$B$25,B14:F14)/-NPV(Assumptions!$B$25,B20:F20)</f>
        <v>6.2698942829599</v>
      </c>
    </row>
    <row r="27" customFormat="false" ht="15" hidden="false" customHeight="false" outlineLevel="0" collapsed="false">
      <c r="A27" s="15" t="s">
        <v>104</v>
      </c>
      <c r="B27" s="34" t="n">
        <f aca="false">B21</f>
        <v>81546.0249488</v>
      </c>
    </row>
    <row r="28" customFormat="false" ht="15" hidden="false" customHeight="false" outlineLevel="0" collapsed="false">
      <c r="A28" s="33" t="s">
        <v>105</v>
      </c>
      <c r="B28" s="33"/>
      <c r="C28" s="33"/>
      <c r="D28" s="33"/>
      <c r="E28" s="33"/>
      <c r="F28" s="33"/>
    </row>
    <row r="30" customFormat="false" ht="15" hidden="false" customHeight="false" outlineLevel="0" collapsed="false">
      <c r="A30" s="11" t="s">
        <v>106</v>
      </c>
    </row>
    <row r="31" customFormat="false" ht="15" hidden="false" customHeight="false" outlineLevel="0" collapsed="false">
      <c r="A31" s="15" t="s">
        <v>107</v>
      </c>
      <c r="B31" s="44" t="n">
        <f aca="false">'Measurement Accuracy'!$D$21-'Measurement Accuracy'!$D$20</f>
        <v>115745.900634855</v>
      </c>
    </row>
    <row r="32" customFormat="false" ht="15" hidden="false" customHeight="true" outlineLevel="0" collapsed="false">
      <c r="A32" s="12" t="s">
        <v>108</v>
      </c>
      <c r="B32" s="12"/>
      <c r="C32" s="12"/>
      <c r="D32" s="12"/>
      <c r="E32" s="12"/>
      <c r="F32" s="12"/>
    </row>
    <row r="33" customFormat="false" ht="15" hidden="false" customHeight="false" outlineLevel="0" collapsed="false">
      <c r="A33" s="12"/>
      <c r="B33" s="12"/>
      <c r="C33" s="12"/>
      <c r="D33" s="12"/>
      <c r="E33" s="12"/>
      <c r="F33" s="12"/>
    </row>
    <row r="34" customFormat="false" ht="15" hidden="false" customHeight="false" outlineLevel="0" collapsed="false">
      <c r="A34" s="12"/>
      <c r="B34" s="12"/>
      <c r="C34" s="12"/>
      <c r="D34" s="12"/>
      <c r="E34" s="12"/>
      <c r="F34" s="12"/>
    </row>
  </sheetData>
  <mergeCells count="2">
    <mergeCell ref="A28:F28"/>
    <mergeCell ref="A32: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5"/>
  </cols>
  <sheetData>
    <row r="1" customFormat="false" ht="19.7" hidden="false" customHeight="false" outlineLevel="0" collapsed="false">
      <c r="A1" s="1" t="s">
        <v>109</v>
      </c>
    </row>
    <row r="2" customFormat="false" ht="15" hidden="false" customHeight="false" outlineLevel="0" collapsed="false">
      <c r="A2" s="2" t="s">
        <v>110</v>
      </c>
    </row>
    <row r="4" customFormat="false" ht="15" hidden="false" customHeight="false" outlineLevel="0" collapsed="false">
      <c r="A4" s="23" t="s">
        <v>111</v>
      </c>
      <c r="B4" s="23" t="s">
        <v>112</v>
      </c>
      <c r="C4" s="23" t="s">
        <v>113</v>
      </c>
      <c r="D4" s="23" t="s">
        <v>114</v>
      </c>
      <c r="E4" s="23" t="s">
        <v>115</v>
      </c>
      <c r="F4" s="23" t="s">
        <v>116</v>
      </c>
      <c r="G4" s="23" t="s">
        <v>117</v>
      </c>
    </row>
    <row r="5" customFormat="false" ht="15" hidden="false" customHeight="false" outlineLevel="0" collapsed="false">
      <c r="A5" s="22" t="n">
        <v>95</v>
      </c>
      <c r="B5" s="34" t="n">
        <f aca="false">((ROUND(Assumptions!$B$6*(1+Assumptions!$B$27)^0,0)*0.1*(Assumptions!$B$10-Assumptions!$B$11)*Assumptions!$B$14*95*Assumptions!$B$16)-((Assumptions!$B$20*12*Assumptions!$B$21+Assumptions!$B$22)+Assumptions!$B$19))/(1+Assumptions!$B$25)^1+((ROUND(Assumptions!$B$6*(1+Assumptions!$B$27)^1,0)*0.1*(Assumptions!$B$10-Assumptions!$B$11)*Assumptions!$B$14*95*Assumptions!$B$16)-((Assumptions!$B$20*12*Assumptions!$B$21+Assumptions!$B$22)))/(1+Assumptions!$B$25)^2+((ROUND(Assumptions!$B$6*(1+Assumptions!$B$27)^2,0)*0.1*(Assumptions!$B$10-Assumptions!$B$11)*Assumptions!$B$14*95*Assumptions!$B$16)-((Assumptions!$B$20*12*Assumptions!$B$21+Assumptions!$B$22)))/(1+Assumptions!$B$25)^3+((ROUND(Assumptions!$B$6*(1+Assumptions!$B$27)^3,0)*0.1*(Assumptions!$B$10-Assumptions!$B$11)*Assumptions!$B$14*95*Assumptions!$B$16)-((Assumptions!$B$20*12*Assumptions!$B$21+Assumptions!$B$22)))/(1+Assumptions!$B$25)^4+((ROUND(Assumptions!$B$6*(1+Assumptions!$B$27)^4,0)*0.1*(Assumptions!$B$10-Assumptions!$B$11)*Assumptions!$B$14*95*Assumptions!$B$16)-((Assumptions!$B$20*12*Assumptions!$B$21+Assumptions!$B$22)))/(1+Assumptions!$B$25)^5</f>
        <v>63700.0348033337</v>
      </c>
      <c r="C5" s="34" t="n">
        <f aca="false">((ROUND(Assumptions!$B$6*(1+Assumptions!$B$27)^0,0)*0.15*(Assumptions!$B$10-Assumptions!$B$11)*Assumptions!$B$14*95*Assumptions!$B$16)-((Assumptions!$B$20*12*Assumptions!$B$21+Assumptions!$B$22)+Assumptions!$B$19))/(1+Assumptions!$B$25)^1+((ROUND(Assumptions!$B$6*(1+Assumptions!$B$27)^1,0)*0.15*(Assumptions!$B$10-Assumptions!$B$11)*Assumptions!$B$14*95*Assumptions!$B$16)-((Assumptions!$B$20*12*Assumptions!$B$21+Assumptions!$B$22)))/(1+Assumptions!$B$25)^2+((ROUND(Assumptions!$B$6*(1+Assumptions!$B$27)^2,0)*0.15*(Assumptions!$B$10-Assumptions!$B$11)*Assumptions!$B$14*95*Assumptions!$B$16)-((Assumptions!$B$20*12*Assumptions!$B$21+Assumptions!$B$22)))/(1+Assumptions!$B$25)^3+((ROUND(Assumptions!$B$6*(1+Assumptions!$B$27)^3,0)*0.15*(Assumptions!$B$10-Assumptions!$B$11)*Assumptions!$B$14*95*Assumptions!$B$16)-((Assumptions!$B$20*12*Assumptions!$B$21+Assumptions!$B$22)))/(1+Assumptions!$B$25)^4+((ROUND(Assumptions!$B$6*(1+Assumptions!$B$27)^4,0)*0.15*(Assumptions!$B$10-Assumptions!$B$11)*Assumptions!$B$14*95*Assumptions!$B$16)-((Assumptions!$B$20*12*Assumptions!$B$21+Assumptions!$B$22)))/(1+Assumptions!$B$25)^5</f>
        <v>148445.619748937</v>
      </c>
      <c r="D5" s="34" t="n">
        <f aca="false">((ROUND(Assumptions!$B$6*(1+Assumptions!$B$27)^0,0)*0.2*(Assumptions!$B$10-Assumptions!$B$11)*Assumptions!$B$14*95*Assumptions!$B$16)-((Assumptions!$B$20*12*Assumptions!$B$21+Assumptions!$B$22)+Assumptions!$B$19))/(1+Assumptions!$B$25)^1+((ROUND(Assumptions!$B$6*(1+Assumptions!$B$27)^1,0)*0.2*(Assumptions!$B$10-Assumptions!$B$11)*Assumptions!$B$14*95*Assumptions!$B$16)-((Assumptions!$B$20*12*Assumptions!$B$21+Assumptions!$B$22)))/(1+Assumptions!$B$25)^2+((ROUND(Assumptions!$B$6*(1+Assumptions!$B$27)^2,0)*0.2*(Assumptions!$B$10-Assumptions!$B$11)*Assumptions!$B$14*95*Assumptions!$B$16)-((Assumptions!$B$20*12*Assumptions!$B$21+Assumptions!$B$22)))/(1+Assumptions!$B$25)^3+((ROUND(Assumptions!$B$6*(1+Assumptions!$B$27)^3,0)*0.2*(Assumptions!$B$10-Assumptions!$B$11)*Assumptions!$B$14*95*Assumptions!$B$16)-((Assumptions!$B$20*12*Assumptions!$B$21+Assumptions!$B$22)))/(1+Assumptions!$B$25)^4+((ROUND(Assumptions!$B$6*(1+Assumptions!$B$27)^4,0)*0.2*(Assumptions!$B$10-Assumptions!$B$11)*Assumptions!$B$14*95*Assumptions!$B$16)-((Assumptions!$B$20*12*Assumptions!$B$21+Assumptions!$B$22)))/(1+Assumptions!$B$25)^5</f>
        <v>233191.20469454</v>
      </c>
      <c r="E5" s="34" t="n">
        <f aca="false">((ROUND(Assumptions!$B$6*(1+Assumptions!$B$27)^0,0)*0.256*(Assumptions!$B$10-Assumptions!$B$11)*Assumptions!$B$14*95*Assumptions!$B$16)-((Assumptions!$B$20*12*Assumptions!$B$21+Assumptions!$B$22)+Assumptions!$B$19))/(1+Assumptions!$B$25)^1+((ROUND(Assumptions!$B$6*(1+Assumptions!$B$27)^1,0)*0.256*(Assumptions!$B$10-Assumptions!$B$11)*Assumptions!$B$14*95*Assumptions!$B$16)-((Assumptions!$B$20*12*Assumptions!$B$21+Assumptions!$B$22)))/(1+Assumptions!$B$25)^2+((ROUND(Assumptions!$B$6*(1+Assumptions!$B$27)^2,0)*0.256*(Assumptions!$B$10-Assumptions!$B$11)*Assumptions!$B$14*95*Assumptions!$B$16)-((Assumptions!$B$20*12*Assumptions!$B$21+Assumptions!$B$22)))/(1+Assumptions!$B$25)^3+((ROUND(Assumptions!$B$6*(1+Assumptions!$B$27)^3,0)*0.256*(Assumptions!$B$10-Assumptions!$B$11)*Assumptions!$B$14*95*Assumptions!$B$16)-((Assumptions!$B$20*12*Assumptions!$B$21+Assumptions!$B$22)))/(1+Assumptions!$B$25)^4+((ROUND(Assumptions!$B$6*(1+Assumptions!$B$27)^4,0)*0.256*(Assumptions!$B$10-Assumptions!$B$11)*Assumptions!$B$14*95*Assumptions!$B$16)-((Assumptions!$B$20*12*Assumptions!$B$21+Assumptions!$B$22)))/(1+Assumptions!$B$25)^5</f>
        <v>328106.259833615</v>
      </c>
      <c r="F5" s="34" t="n">
        <f aca="false">((ROUND(Assumptions!$B$6*(1+Assumptions!$B$27)^0,0)*0.3*(Assumptions!$B$10-Assumptions!$B$11)*Assumptions!$B$14*95*Assumptions!$B$16)-((Assumptions!$B$20*12*Assumptions!$B$21+Assumptions!$B$22)+Assumptions!$B$19))/(1+Assumptions!$B$25)^1+((ROUND(Assumptions!$B$6*(1+Assumptions!$B$27)^1,0)*0.3*(Assumptions!$B$10-Assumptions!$B$11)*Assumptions!$B$14*95*Assumptions!$B$16)-((Assumptions!$B$20*12*Assumptions!$B$21+Assumptions!$B$22)))/(1+Assumptions!$B$25)^2+((ROUND(Assumptions!$B$6*(1+Assumptions!$B$27)^2,0)*0.3*(Assumptions!$B$10-Assumptions!$B$11)*Assumptions!$B$14*95*Assumptions!$B$16)-((Assumptions!$B$20*12*Assumptions!$B$21+Assumptions!$B$22)))/(1+Assumptions!$B$25)^3+((ROUND(Assumptions!$B$6*(1+Assumptions!$B$27)^3,0)*0.3*(Assumptions!$B$10-Assumptions!$B$11)*Assumptions!$B$14*95*Assumptions!$B$16)-((Assumptions!$B$20*12*Assumptions!$B$21+Assumptions!$B$22)))/(1+Assumptions!$B$25)^4+((ROUND(Assumptions!$B$6*(1+Assumptions!$B$27)^4,0)*0.3*(Assumptions!$B$10-Assumptions!$B$11)*Assumptions!$B$14*95*Assumptions!$B$16)-((Assumptions!$B$20*12*Assumptions!$B$21+Assumptions!$B$22)))/(1+Assumptions!$B$25)^5</f>
        <v>402682.374585746</v>
      </c>
      <c r="G5" s="34" t="n">
        <f aca="false">((ROUND(Assumptions!$B$6*(1+Assumptions!$B$27)^0,0)*0.35*(Assumptions!$B$10-Assumptions!$B$11)*Assumptions!$B$14*95*Assumptions!$B$16)-((Assumptions!$B$20*12*Assumptions!$B$21+Assumptions!$B$22)+Assumptions!$B$19))/(1+Assumptions!$B$25)^1+((ROUND(Assumptions!$B$6*(1+Assumptions!$B$27)^1,0)*0.35*(Assumptions!$B$10-Assumptions!$B$11)*Assumptions!$B$14*95*Assumptions!$B$16)-((Assumptions!$B$20*12*Assumptions!$B$21+Assumptions!$B$22)))/(1+Assumptions!$B$25)^2+((ROUND(Assumptions!$B$6*(1+Assumptions!$B$27)^2,0)*0.35*(Assumptions!$B$10-Assumptions!$B$11)*Assumptions!$B$14*95*Assumptions!$B$16)-((Assumptions!$B$20*12*Assumptions!$B$21+Assumptions!$B$22)))/(1+Assumptions!$B$25)^3+((ROUND(Assumptions!$B$6*(1+Assumptions!$B$27)^3,0)*0.35*(Assumptions!$B$10-Assumptions!$B$11)*Assumptions!$B$14*95*Assumptions!$B$16)-((Assumptions!$B$20*12*Assumptions!$B$21+Assumptions!$B$22)))/(1+Assumptions!$B$25)^4+((ROUND(Assumptions!$B$6*(1+Assumptions!$B$27)^4,0)*0.35*(Assumptions!$B$10-Assumptions!$B$11)*Assumptions!$B$14*95*Assumptions!$B$16)-((Assumptions!$B$20*12*Assumptions!$B$21+Assumptions!$B$22)))/(1+Assumptions!$B$25)^5</f>
        <v>487427.959531349</v>
      </c>
    </row>
    <row r="6" customFormat="false" ht="15" hidden="false" customHeight="false" outlineLevel="0" collapsed="false">
      <c r="A6" s="22" t="n">
        <v>120</v>
      </c>
      <c r="B6" s="34" t="n">
        <f aca="false">((ROUND(Assumptions!$B$6*(1+Assumptions!$B$27)^0,0)*0.1*(Assumptions!$B$10-Assumptions!$B$11)*Assumptions!$B$14*120*Assumptions!$B$16)-((Assumptions!$B$20*12*Assumptions!$B$21+Assumptions!$B$22)+Assumptions!$B$19))/(1+Assumptions!$B$25)^1+((ROUND(Assumptions!$B$6*(1+Assumptions!$B$27)^1,0)*0.1*(Assumptions!$B$10-Assumptions!$B$11)*Assumptions!$B$14*120*Assumptions!$B$16)-((Assumptions!$B$20*12*Assumptions!$B$21+Assumptions!$B$22)))/(1+Assumptions!$B$25)^2+((ROUND(Assumptions!$B$6*(1+Assumptions!$B$27)^2,0)*0.1*(Assumptions!$B$10-Assumptions!$B$11)*Assumptions!$B$14*120*Assumptions!$B$16)-((Assumptions!$B$20*12*Assumptions!$B$21+Assumptions!$B$22)))/(1+Assumptions!$B$25)^3+((ROUND(Assumptions!$B$6*(1+Assumptions!$B$27)^3,0)*0.1*(Assumptions!$B$10-Assumptions!$B$11)*Assumptions!$B$14*120*Assumptions!$B$16)-((Assumptions!$B$20*12*Assumptions!$B$21+Assumptions!$B$22)))/(1+Assumptions!$B$25)^4+((ROUND(Assumptions!$B$6*(1+Assumptions!$B$27)^4,0)*0.1*(Assumptions!$B$10-Assumptions!$B$11)*Assumptions!$B$14*120*Assumptions!$B$16)-((Assumptions!$B$20*12*Assumptions!$B$21+Assumptions!$B$22)))/(1+Assumptions!$B$25)^5</f>
        <v>108302.974248388</v>
      </c>
      <c r="C6" s="34" t="n">
        <f aca="false">((ROUND(Assumptions!$B$6*(1+Assumptions!$B$27)^0,0)*0.15*(Assumptions!$B$10-Assumptions!$B$11)*Assumptions!$B$14*120*Assumptions!$B$16)-((Assumptions!$B$20*12*Assumptions!$B$21+Assumptions!$B$22)+Assumptions!$B$19))/(1+Assumptions!$B$25)^1+((ROUND(Assumptions!$B$6*(1+Assumptions!$B$27)^1,0)*0.15*(Assumptions!$B$10-Assumptions!$B$11)*Assumptions!$B$14*120*Assumptions!$B$16)-((Assumptions!$B$20*12*Assumptions!$B$21+Assumptions!$B$22)))/(1+Assumptions!$B$25)^2+((ROUND(Assumptions!$B$6*(1+Assumptions!$B$27)^2,0)*0.15*(Assumptions!$B$10-Assumptions!$B$11)*Assumptions!$B$14*120*Assumptions!$B$16)-((Assumptions!$B$20*12*Assumptions!$B$21+Assumptions!$B$22)))/(1+Assumptions!$B$25)^3+((ROUND(Assumptions!$B$6*(1+Assumptions!$B$27)^3,0)*0.15*(Assumptions!$B$10-Assumptions!$B$11)*Assumptions!$B$14*120*Assumptions!$B$16)-((Assumptions!$B$20*12*Assumptions!$B$21+Assumptions!$B$22)))/(1+Assumptions!$B$25)^4+((ROUND(Assumptions!$B$6*(1+Assumptions!$B$27)^4,0)*0.15*(Assumptions!$B$10-Assumptions!$B$11)*Assumptions!$B$14*120*Assumptions!$B$16)-((Assumptions!$B$20*12*Assumptions!$B$21+Assumptions!$B$22)))/(1+Assumptions!$B$25)^5</f>
        <v>215350.028916518</v>
      </c>
      <c r="D6" s="34" t="n">
        <f aca="false">((ROUND(Assumptions!$B$6*(1+Assumptions!$B$27)^0,0)*0.2*(Assumptions!$B$10-Assumptions!$B$11)*Assumptions!$B$14*120*Assumptions!$B$16)-((Assumptions!$B$20*12*Assumptions!$B$21+Assumptions!$B$22)+Assumptions!$B$19))/(1+Assumptions!$B$25)^1+((ROUND(Assumptions!$B$6*(1+Assumptions!$B$27)^1,0)*0.2*(Assumptions!$B$10-Assumptions!$B$11)*Assumptions!$B$14*120*Assumptions!$B$16)-((Assumptions!$B$20*12*Assumptions!$B$21+Assumptions!$B$22)))/(1+Assumptions!$B$25)^2+((ROUND(Assumptions!$B$6*(1+Assumptions!$B$27)^2,0)*0.2*(Assumptions!$B$10-Assumptions!$B$11)*Assumptions!$B$14*120*Assumptions!$B$16)-((Assumptions!$B$20*12*Assumptions!$B$21+Assumptions!$B$22)))/(1+Assumptions!$B$25)^3+((ROUND(Assumptions!$B$6*(1+Assumptions!$B$27)^3,0)*0.2*(Assumptions!$B$10-Assumptions!$B$11)*Assumptions!$B$14*120*Assumptions!$B$16)-((Assumptions!$B$20*12*Assumptions!$B$21+Assumptions!$B$22)))/(1+Assumptions!$B$25)^4+((ROUND(Assumptions!$B$6*(1+Assumptions!$B$27)^4,0)*0.2*(Assumptions!$B$10-Assumptions!$B$11)*Assumptions!$B$14*120*Assumptions!$B$16)-((Assumptions!$B$20*12*Assumptions!$B$21+Assumptions!$B$22)))/(1+Assumptions!$B$25)^5</f>
        <v>322397.083584649</v>
      </c>
      <c r="E6" s="34" t="n">
        <f aca="false">((ROUND(Assumptions!$B$6*(1+Assumptions!$B$27)^0,0)*0.256*(Assumptions!$B$10-Assumptions!$B$11)*Assumptions!$B$14*120*Assumptions!$B$16)-((Assumptions!$B$20*12*Assumptions!$B$21+Assumptions!$B$22)+Assumptions!$B$19))/(1+Assumptions!$B$25)^1+((ROUND(Assumptions!$B$6*(1+Assumptions!$B$27)^1,0)*0.256*(Assumptions!$B$10-Assumptions!$B$11)*Assumptions!$B$14*120*Assumptions!$B$16)-((Assumptions!$B$20*12*Assumptions!$B$21+Assumptions!$B$22)))/(1+Assumptions!$B$25)^2+((ROUND(Assumptions!$B$6*(1+Assumptions!$B$27)^2,0)*0.256*(Assumptions!$B$10-Assumptions!$B$11)*Assumptions!$B$14*120*Assumptions!$B$16)-((Assumptions!$B$20*12*Assumptions!$B$21+Assumptions!$B$22)))/(1+Assumptions!$B$25)^3+((ROUND(Assumptions!$B$6*(1+Assumptions!$B$27)^3,0)*0.256*(Assumptions!$B$10-Assumptions!$B$11)*Assumptions!$B$14*120*Assumptions!$B$16)-((Assumptions!$B$20*12*Assumptions!$B$21+Assumptions!$B$22)))/(1+Assumptions!$B$25)^4+((ROUND(Assumptions!$B$6*(1+Assumptions!$B$27)^4,0)*0.256*(Assumptions!$B$10-Assumptions!$B$11)*Assumptions!$B$14*120*Assumptions!$B$16)-((Assumptions!$B$20*12*Assumptions!$B$21+Assumptions!$B$22)))/(1+Assumptions!$B$25)^5</f>
        <v>442289.784812954</v>
      </c>
      <c r="F6" s="34" t="n">
        <f aca="false">((ROUND(Assumptions!$B$6*(1+Assumptions!$B$27)^0,0)*0.3*(Assumptions!$B$10-Assumptions!$B$11)*Assumptions!$B$14*120*Assumptions!$B$16)-((Assumptions!$B$20*12*Assumptions!$B$21+Assumptions!$B$22)+Assumptions!$B$19))/(1+Assumptions!$B$25)^1+((ROUND(Assumptions!$B$6*(1+Assumptions!$B$27)^1,0)*0.3*(Assumptions!$B$10-Assumptions!$B$11)*Assumptions!$B$14*120*Assumptions!$B$16)-((Assumptions!$B$20*12*Assumptions!$B$21+Assumptions!$B$22)))/(1+Assumptions!$B$25)^2+((ROUND(Assumptions!$B$6*(1+Assumptions!$B$27)^2,0)*0.3*(Assumptions!$B$10-Assumptions!$B$11)*Assumptions!$B$14*120*Assumptions!$B$16)-((Assumptions!$B$20*12*Assumptions!$B$21+Assumptions!$B$22)))/(1+Assumptions!$B$25)^3+((ROUND(Assumptions!$B$6*(1+Assumptions!$B$27)^3,0)*0.3*(Assumptions!$B$10-Assumptions!$B$11)*Assumptions!$B$14*120*Assumptions!$B$16)-((Assumptions!$B$20*12*Assumptions!$B$21+Assumptions!$B$22)))/(1+Assumptions!$B$25)^4+((ROUND(Assumptions!$B$6*(1+Assumptions!$B$27)^4,0)*0.3*(Assumptions!$B$10-Assumptions!$B$11)*Assumptions!$B$14*120*Assumptions!$B$16)-((Assumptions!$B$20*12*Assumptions!$B$21+Assumptions!$B$22)))/(1+Assumptions!$B$25)^5</f>
        <v>536491.192920909</v>
      </c>
      <c r="G6" s="34" t="n">
        <f aca="false">((ROUND(Assumptions!$B$6*(1+Assumptions!$B$27)^0,0)*0.35*(Assumptions!$B$10-Assumptions!$B$11)*Assumptions!$B$14*120*Assumptions!$B$16)-((Assumptions!$B$20*12*Assumptions!$B$21+Assumptions!$B$22)+Assumptions!$B$19))/(1+Assumptions!$B$25)^1+((ROUND(Assumptions!$B$6*(1+Assumptions!$B$27)^1,0)*0.35*(Assumptions!$B$10-Assumptions!$B$11)*Assumptions!$B$14*120*Assumptions!$B$16)-((Assumptions!$B$20*12*Assumptions!$B$21+Assumptions!$B$22)))/(1+Assumptions!$B$25)^2+((ROUND(Assumptions!$B$6*(1+Assumptions!$B$27)^2,0)*0.35*(Assumptions!$B$10-Assumptions!$B$11)*Assumptions!$B$14*120*Assumptions!$B$16)-((Assumptions!$B$20*12*Assumptions!$B$21+Assumptions!$B$22)))/(1+Assumptions!$B$25)^3+((ROUND(Assumptions!$B$6*(1+Assumptions!$B$27)^3,0)*0.35*(Assumptions!$B$10-Assumptions!$B$11)*Assumptions!$B$14*120*Assumptions!$B$16)-((Assumptions!$B$20*12*Assumptions!$B$21+Assumptions!$B$22)))/(1+Assumptions!$B$25)^4+((ROUND(Assumptions!$B$6*(1+Assumptions!$B$27)^4,0)*0.35*(Assumptions!$B$10-Assumptions!$B$11)*Assumptions!$B$14*120*Assumptions!$B$16)-((Assumptions!$B$20*12*Assumptions!$B$21+Assumptions!$B$22)))/(1+Assumptions!$B$25)^5</f>
        <v>643538.247589039</v>
      </c>
    </row>
    <row r="7" customFormat="false" ht="15" hidden="false" customHeight="false" outlineLevel="0" collapsed="false">
      <c r="A7" s="22" t="n">
        <v>145</v>
      </c>
      <c r="B7" s="34" t="n">
        <f aca="false">((ROUND(Assumptions!$B$6*(1+Assumptions!$B$27)^0,0)*0.1*(Assumptions!$B$10-Assumptions!$B$11)*Assumptions!$B$14*145*Assumptions!$B$16)-((Assumptions!$B$20*12*Assumptions!$B$21+Assumptions!$B$22)+Assumptions!$B$19))/(1+Assumptions!$B$25)^1+((ROUND(Assumptions!$B$6*(1+Assumptions!$B$27)^1,0)*0.1*(Assumptions!$B$10-Assumptions!$B$11)*Assumptions!$B$14*145*Assumptions!$B$16)-((Assumptions!$B$20*12*Assumptions!$B$21+Assumptions!$B$22)))/(1+Assumptions!$B$25)^2+((ROUND(Assumptions!$B$6*(1+Assumptions!$B$27)^2,0)*0.1*(Assumptions!$B$10-Assumptions!$B$11)*Assumptions!$B$14*145*Assumptions!$B$16)-((Assumptions!$B$20*12*Assumptions!$B$21+Assumptions!$B$22)))/(1+Assumptions!$B$25)^3+((ROUND(Assumptions!$B$6*(1+Assumptions!$B$27)^3,0)*0.1*(Assumptions!$B$10-Assumptions!$B$11)*Assumptions!$B$14*145*Assumptions!$B$16)-((Assumptions!$B$20*12*Assumptions!$B$21+Assumptions!$B$22)))/(1+Assumptions!$B$25)^4+((ROUND(Assumptions!$B$6*(1+Assumptions!$B$27)^4,0)*0.1*(Assumptions!$B$10-Assumptions!$B$11)*Assumptions!$B$14*145*Assumptions!$B$16)-((Assumptions!$B$20*12*Assumptions!$B$21+Assumptions!$B$22)))/(1+Assumptions!$B$25)^5</f>
        <v>152905.913693442</v>
      </c>
      <c r="C7" s="34" t="n">
        <f aca="false">((ROUND(Assumptions!$B$6*(1+Assumptions!$B$27)^0,0)*0.15*(Assumptions!$B$10-Assumptions!$B$11)*Assumptions!$B$14*145*Assumptions!$B$16)-((Assumptions!$B$20*12*Assumptions!$B$21+Assumptions!$B$22)+Assumptions!$B$19))/(1+Assumptions!$B$25)^1+((ROUND(Assumptions!$B$6*(1+Assumptions!$B$27)^1,0)*0.15*(Assumptions!$B$10-Assumptions!$B$11)*Assumptions!$B$14*145*Assumptions!$B$16)-((Assumptions!$B$20*12*Assumptions!$B$21+Assumptions!$B$22)))/(1+Assumptions!$B$25)^2+((ROUND(Assumptions!$B$6*(1+Assumptions!$B$27)^2,0)*0.15*(Assumptions!$B$10-Assumptions!$B$11)*Assumptions!$B$14*145*Assumptions!$B$16)-((Assumptions!$B$20*12*Assumptions!$B$21+Assumptions!$B$22)))/(1+Assumptions!$B$25)^3+((ROUND(Assumptions!$B$6*(1+Assumptions!$B$27)^3,0)*0.15*(Assumptions!$B$10-Assumptions!$B$11)*Assumptions!$B$14*145*Assumptions!$B$16)-((Assumptions!$B$20*12*Assumptions!$B$21+Assumptions!$B$22)))/(1+Assumptions!$B$25)^4+((ROUND(Assumptions!$B$6*(1+Assumptions!$B$27)^4,0)*0.15*(Assumptions!$B$10-Assumptions!$B$11)*Assumptions!$B$14*145*Assumptions!$B$16)-((Assumptions!$B$20*12*Assumptions!$B$21+Assumptions!$B$22)))/(1+Assumptions!$B$25)^5</f>
        <v>282254.4380841</v>
      </c>
      <c r="D7" s="34" t="n">
        <f aca="false">((ROUND(Assumptions!$B$6*(1+Assumptions!$B$27)^0,0)*0.2*(Assumptions!$B$10-Assumptions!$B$11)*Assumptions!$B$14*145*Assumptions!$B$16)-((Assumptions!$B$20*12*Assumptions!$B$21+Assumptions!$B$22)+Assumptions!$B$19))/(1+Assumptions!$B$25)^1+((ROUND(Assumptions!$B$6*(1+Assumptions!$B$27)^1,0)*0.2*(Assumptions!$B$10-Assumptions!$B$11)*Assumptions!$B$14*145*Assumptions!$B$16)-((Assumptions!$B$20*12*Assumptions!$B$21+Assumptions!$B$22)))/(1+Assumptions!$B$25)^2+((ROUND(Assumptions!$B$6*(1+Assumptions!$B$27)^2,0)*0.2*(Assumptions!$B$10-Assumptions!$B$11)*Assumptions!$B$14*145*Assumptions!$B$16)-((Assumptions!$B$20*12*Assumptions!$B$21+Assumptions!$B$22)))/(1+Assumptions!$B$25)^3+((ROUND(Assumptions!$B$6*(1+Assumptions!$B$27)^3,0)*0.2*(Assumptions!$B$10-Assumptions!$B$11)*Assumptions!$B$14*145*Assumptions!$B$16)-((Assumptions!$B$20*12*Assumptions!$B$21+Assumptions!$B$22)))/(1+Assumptions!$B$25)^4+((ROUND(Assumptions!$B$6*(1+Assumptions!$B$27)^4,0)*0.2*(Assumptions!$B$10-Assumptions!$B$11)*Assumptions!$B$14*145*Assumptions!$B$16)-((Assumptions!$B$20*12*Assumptions!$B$21+Assumptions!$B$22)))/(1+Assumptions!$B$25)^5</f>
        <v>411602.962474757</v>
      </c>
      <c r="E7" s="45" t="n">
        <f aca="false">((ROUND(Assumptions!$B$6*(1+Assumptions!$B$27)^0,0)*0.256*(Assumptions!$B$10-Assumptions!$B$11)*Assumptions!$B$14*145*Assumptions!$B$16)-((Assumptions!$B$20*12*Assumptions!$B$21+Assumptions!$B$22)+Assumptions!$B$19))/(1+Assumptions!$B$25)^1+((ROUND(Assumptions!$B$6*(1+Assumptions!$B$27)^1,0)*0.256*(Assumptions!$B$10-Assumptions!$B$11)*Assumptions!$B$14*145*Assumptions!$B$16)-((Assumptions!$B$20*12*Assumptions!$B$21+Assumptions!$B$22)))/(1+Assumptions!$B$25)^2+((ROUND(Assumptions!$B$6*(1+Assumptions!$B$27)^2,0)*0.256*(Assumptions!$B$10-Assumptions!$B$11)*Assumptions!$B$14*145*Assumptions!$B$16)-((Assumptions!$B$20*12*Assumptions!$B$21+Assumptions!$B$22)))/(1+Assumptions!$B$25)^3+((ROUND(Assumptions!$B$6*(1+Assumptions!$B$27)^3,0)*0.256*(Assumptions!$B$10-Assumptions!$B$11)*Assumptions!$B$14*145*Assumptions!$B$16)-((Assumptions!$B$20*12*Assumptions!$B$21+Assumptions!$B$22)))/(1+Assumptions!$B$25)^4+((ROUND(Assumptions!$B$6*(1+Assumptions!$B$27)^4,0)*0.256*(Assumptions!$B$10-Assumptions!$B$11)*Assumptions!$B$14*145*Assumptions!$B$16)-((Assumptions!$B$20*12*Assumptions!$B$21+Assumptions!$B$22)))/(1+Assumptions!$B$25)^5</f>
        <v>556473.309792293</v>
      </c>
      <c r="F7" s="34" t="n">
        <f aca="false">((ROUND(Assumptions!$B$6*(1+Assumptions!$B$27)^0,0)*0.3*(Assumptions!$B$10-Assumptions!$B$11)*Assumptions!$B$14*145*Assumptions!$B$16)-((Assumptions!$B$20*12*Assumptions!$B$21+Assumptions!$B$22)+Assumptions!$B$19))/(1+Assumptions!$B$25)^1+((ROUND(Assumptions!$B$6*(1+Assumptions!$B$27)^1,0)*0.3*(Assumptions!$B$10-Assumptions!$B$11)*Assumptions!$B$14*145*Assumptions!$B$16)-((Assumptions!$B$20*12*Assumptions!$B$21+Assumptions!$B$22)))/(1+Assumptions!$B$25)^2+((ROUND(Assumptions!$B$6*(1+Assumptions!$B$27)^2,0)*0.3*(Assumptions!$B$10-Assumptions!$B$11)*Assumptions!$B$14*145*Assumptions!$B$16)-((Assumptions!$B$20*12*Assumptions!$B$21+Assumptions!$B$22)))/(1+Assumptions!$B$25)^3+((ROUND(Assumptions!$B$6*(1+Assumptions!$B$27)^3,0)*0.3*(Assumptions!$B$10-Assumptions!$B$11)*Assumptions!$B$14*145*Assumptions!$B$16)-((Assumptions!$B$20*12*Assumptions!$B$21+Assumptions!$B$22)))/(1+Assumptions!$B$25)^4+((ROUND(Assumptions!$B$6*(1+Assumptions!$B$27)^4,0)*0.3*(Assumptions!$B$10-Assumptions!$B$11)*Assumptions!$B$14*145*Assumptions!$B$16)-((Assumptions!$B$20*12*Assumptions!$B$21+Assumptions!$B$22)))/(1+Assumptions!$B$25)^5</f>
        <v>670300.011256072</v>
      </c>
      <c r="G7" s="34" t="n">
        <f aca="false">((ROUND(Assumptions!$B$6*(1+Assumptions!$B$27)^0,0)*0.35*(Assumptions!$B$10-Assumptions!$B$11)*Assumptions!$B$14*145*Assumptions!$B$16)-((Assumptions!$B$20*12*Assumptions!$B$21+Assumptions!$B$22)+Assumptions!$B$19))/(1+Assumptions!$B$25)^1+((ROUND(Assumptions!$B$6*(1+Assumptions!$B$27)^1,0)*0.35*(Assumptions!$B$10-Assumptions!$B$11)*Assumptions!$B$14*145*Assumptions!$B$16)-((Assumptions!$B$20*12*Assumptions!$B$21+Assumptions!$B$22)))/(1+Assumptions!$B$25)^2+((ROUND(Assumptions!$B$6*(1+Assumptions!$B$27)^2,0)*0.35*(Assumptions!$B$10-Assumptions!$B$11)*Assumptions!$B$14*145*Assumptions!$B$16)-((Assumptions!$B$20*12*Assumptions!$B$21+Assumptions!$B$22)))/(1+Assumptions!$B$25)^3+((ROUND(Assumptions!$B$6*(1+Assumptions!$B$27)^3,0)*0.35*(Assumptions!$B$10-Assumptions!$B$11)*Assumptions!$B$14*145*Assumptions!$B$16)-((Assumptions!$B$20*12*Assumptions!$B$21+Assumptions!$B$22)))/(1+Assumptions!$B$25)^4+((ROUND(Assumptions!$B$6*(1+Assumptions!$B$27)^4,0)*0.35*(Assumptions!$B$10-Assumptions!$B$11)*Assumptions!$B$14*145*Assumptions!$B$16)-((Assumptions!$B$20*12*Assumptions!$B$21+Assumptions!$B$22)))/(1+Assumptions!$B$25)^5</f>
        <v>799648.535646729</v>
      </c>
    </row>
    <row r="8" customFormat="false" ht="15" hidden="false" customHeight="false" outlineLevel="0" collapsed="false">
      <c r="A8" s="22" t="n">
        <v>170</v>
      </c>
      <c r="B8" s="34" t="n">
        <f aca="false">((ROUND(Assumptions!$B$6*(1+Assumptions!$B$27)^0,0)*0.1*(Assumptions!$B$10-Assumptions!$B$11)*Assumptions!$B$14*170*Assumptions!$B$16)-((Assumptions!$B$20*12*Assumptions!$B$21+Assumptions!$B$22)+Assumptions!$B$19))/(1+Assumptions!$B$25)^1+((ROUND(Assumptions!$B$6*(1+Assumptions!$B$27)^1,0)*0.1*(Assumptions!$B$10-Assumptions!$B$11)*Assumptions!$B$14*170*Assumptions!$B$16)-((Assumptions!$B$20*12*Assumptions!$B$21+Assumptions!$B$22)))/(1+Assumptions!$B$25)^2+((ROUND(Assumptions!$B$6*(1+Assumptions!$B$27)^2,0)*0.1*(Assumptions!$B$10-Assumptions!$B$11)*Assumptions!$B$14*170*Assumptions!$B$16)-((Assumptions!$B$20*12*Assumptions!$B$21+Assumptions!$B$22)))/(1+Assumptions!$B$25)^3+((ROUND(Assumptions!$B$6*(1+Assumptions!$B$27)^3,0)*0.1*(Assumptions!$B$10-Assumptions!$B$11)*Assumptions!$B$14*170*Assumptions!$B$16)-((Assumptions!$B$20*12*Assumptions!$B$21+Assumptions!$B$22)))/(1+Assumptions!$B$25)^4+((ROUND(Assumptions!$B$6*(1+Assumptions!$B$27)^4,0)*0.1*(Assumptions!$B$10-Assumptions!$B$11)*Assumptions!$B$14*170*Assumptions!$B$16)-((Assumptions!$B$20*12*Assumptions!$B$21+Assumptions!$B$22)))/(1+Assumptions!$B$25)^5</f>
        <v>197508.853138497</v>
      </c>
      <c r="C8" s="34" t="n">
        <f aca="false">((ROUND(Assumptions!$B$6*(1+Assumptions!$B$27)^0,0)*0.15*(Assumptions!$B$10-Assumptions!$B$11)*Assumptions!$B$14*170*Assumptions!$B$16)-((Assumptions!$B$20*12*Assumptions!$B$21+Assumptions!$B$22)+Assumptions!$B$19))/(1+Assumptions!$B$25)^1+((ROUND(Assumptions!$B$6*(1+Assumptions!$B$27)^1,0)*0.15*(Assumptions!$B$10-Assumptions!$B$11)*Assumptions!$B$14*170*Assumptions!$B$16)-((Assumptions!$B$20*12*Assumptions!$B$21+Assumptions!$B$22)))/(1+Assumptions!$B$25)^2+((ROUND(Assumptions!$B$6*(1+Assumptions!$B$27)^2,0)*0.15*(Assumptions!$B$10-Assumptions!$B$11)*Assumptions!$B$14*170*Assumptions!$B$16)-((Assumptions!$B$20*12*Assumptions!$B$21+Assumptions!$B$22)))/(1+Assumptions!$B$25)^3+((ROUND(Assumptions!$B$6*(1+Assumptions!$B$27)^3,0)*0.15*(Assumptions!$B$10-Assumptions!$B$11)*Assumptions!$B$14*170*Assumptions!$B$16)-((Assumptions!$B$20*12*Assumptions!$B$21+Assumptions!$B$22)))/(1+Assumptions!$B$25)^4+((ROUND(Assumptions!$B$6*(1+Assumptions!$B$27)^4,0)*0.15*(Assumptions!$B$10-Assumptions!$B$11)*Assumptions!$B$14*170*Assumptions!$B$16)-((Assumptions!$B$20*12*Assumptions!$B$21+Assumptions!$B$22)))/(1+Assumptions!$B$25)^5</f>
        <v>349158.847251681</v>
      </c>
      <c r="D8" s="34" t="n">
        <f aca="false">((ROUND(Assumptions!$B$6*(1+Assumptions!$B$27)^0,0)*0.2*(Assumptions!$B$10-Assumptions!$B$11)*Assumptions!$B$14*170*Assumptions!$B$16)-((Assumptions!$B$20*12*Assumptions!$B$21+Assumptions!$B$22)+Assumptions!$B$19))/(1+Assumptions!$B$25)^1+((ROUND(Assumptions!$B$6*(1+Assumptions!$B$27)^1,0)*0.2*(Assumptions!$B$10-Assumptions!$B$11)*Assumptions!$B$14*170*Assumptions!$B$16)-((Assumptions!$B$20*12*Assumptions!$B$21+Assumptions!$B$22)))/(1+Assumptions!$B$25)^2+((ROUND(Assumptions!$B$6*(1+Assumptions!$B$27)^2,0)*0.2*(Assumptions!$B$10-Assumptions!$B$11)*Assumptions!$B$14*170*Assumptions!$B$16)-((Assumptions!$B$20*12*Assumptions!$B$21+Assumptions!$B$22)))/(1+Assumptions!$B$25)^3+((ROUND(Assumptions!$B$6*(1+Assumptions!$B$27)^3,0)*0.2*(Assumptions!$B$10-Assumptions!$B$11)*Assumptions!$B$14*170*Assumptions!$B$16)-((Assumptions!$B$20*12*Assumptions!$B$21+Assumptions!$B$22)))/(1+Assumptions!$B$25)^4+((ROUND(Assumptions!$B$6*(1+Assumptions!$B$27)^4,0)*0.2*(Assumptions!$B$10-Assumptions!$B$11)*Assumptions!$B$14*170*Assumptions!$B$16)-((Assumptions!$B$20*12*Assumptions!$B$21+Assumptions!$B$22)))/(1+Assumptions!$B$25)^5</f>
        <v>500808.841364866</v>
      </c>
      <c r="E8" s="34" t="n">
        <f aca="false">((ROUND(Assumptions!$B$6*(1+Assumptions!$B$27)^0,0)*0.256*(Assumptions!$B$10-Assumptions!$B$11)*Assumptions!$B$14*170*Assumptions!$B$16)-((Assumptions!$B$20*12*Assumptions!$B$21+Assumptions!$B$22)+Assumptions!$B$19))/(1+Assumptions!$B$25)^1+((ROUND(Assumptions!$B$6*(1+Assumptions!$B$27)^1,0)*0.256*(Assumptions!$B$10-Assumptions!$B$11)*Assumptions!$B$14*170*Assumptions!$B$16)-((Assumptions!$B$20*12*Assumptions!$B$21+Assumptions!$B$22)))/(1+Assumptions!$B$25)^2+((ROUND(Assumptions!$B$6*(1+Assumptions!$B$27)^2,0)*0.256*(Assumptions!$B$10-Assumptions!$B$11)*Assumptions!$B$14*170*Assumptions!$B$16)-((Assumptions!$B$20*12*Assumptions!$B$21+Assumptions!$B$22)))/(1+Assumptions!$B$25)^3+((ROUND(Assumptions!$B$6*(1+Assumptions!$B$27)^3,0)*0.256*(Assumptions!$B$10-Assumptions!$B$11)*Assumptions!$B$14*170*Assumptions!$B$16)-((Assumptions!$B$20*12*Assumptions!$B$21+Assumptions!$B$22)))/(1+Assumptions!$B$25)^4+((ROUND(Assumptions!$B$6*(1+Assumptions!$B$27)^4,0)*0.256*(Assumptions!$B$10-Assumptions!$B$11)*Assumptions!$B$14*170*Assumptions!$B$16)-((Assumptions!$B$20*12*Assumptions!$B$21+Assumptions!$B$22)))/(1+Assumptions!$B$25)^5</f>
        <v>670656.834771632</v>
      </c>
      <c r="F8" s="34" t="n">
        <f aca="false">((ROUND(Assumptions!$B$6*(1+Assumptions!$B$27)^0,0)*0.3*(Assumptions!$B$10-Assumptions!$B$11)*Assumptions!$B$14*170*Assumptions!$B$16)-((Assumptions!$B$20*12*Assumptions!$B$21+Assumptions!$B$22)+Assumptions!$B$19))/(1+Assumptions!$B$25)^1+((ROUND(Assumptions!$B$6*(1+Assumptions!$B$27)^1,0)*0.3*(Assumptions!$B$10-Assumptions!$B$11)*Assumptions!$B$14*170*Assumptions!$B$16)-((Assumptions!$B$20*12*Assumptions!$B$21+Assumptions!$B$22)))/(1+Assumptions!$B$25)^2+((ROUND(Assumptions!$B$6*(1+Assumptions!$B$27)^2,0)*0.3*(Assumptions!$B$10-Assumptions!$B$11)*Assumptions!$B$14*170*Assumptions!$B$16)-((Assumptions!$B$20*12*Assumptions!$B$21+Assumptions!$B$22)))/(1+Assumptions!$B$25)^3+((ROUND(Assumptions!$B$6*(1+Assumptions!$B$27)^3,0)*0.3*(Assumptions!$B$10-Assumptions!$B$11)*Assumptions!$B$14*170*Assumptions!$B$16)-((Assumptions!$B$20*12*Assumptions!$B$21+Assumptions!$B$22)))/(1+Assumptions!$B$25)^4+((ROUND(Assumptions!$B$6*(1+Assumptions!$B$27)^4,0)*0.3*(Assumptions!$B$10-Assumptions!$B$11)*Assumptions!$B$14*170*Assumptions!$B$16)-((Assumptions!$B$20*12*Assumptions!$B$21+Assumptions!$B$22)))/(1+Assumptions!$B$25)^5</f>
        <v>804108.829591235</v>
      </c>
      <c r="G8" s="34" t="n">
        <f aca="false">((ROUND(Assumptions!$B$6*(1+Assumptions!$B$27)^0,0)*0.35*(Assumptions!$B$10-Assumptions!$B$11)*Assumptions!$B$14*170*Assumptions!$B$16)-((Assumptions!$B$20*12*Assumptions!$B$21+Assumptions!$B$22)+Assumptions!$B$19))/(1+Assumptions!$B$25)^1+((ROUND(Assumptions!$B$6*(1+Assumptions!$B$27)^1,0)*0.35*(Assumptions!$B$10-Assumptions!$B$11)*Assumptions!$B$14*170*Assumptions!$B$16)-((Assumptions!$B$20*12*Assumptions!$B$21+Assumptions!$B$22)))/(1+Assumptions!$B$25)^2+((ROUND(Assumptions!$B$6*(1+Assumptions!$B$27)^2,0)*0.35*(Assumptions!$B$10-Assumptions!$B$11)*Assumptions!$B$14*170*Assumptions!$B$16)-((Assumptions!$B$20*12*Assumptions!$B$21+Assumptions!$B$22)))/(1+Assumptions!$B$25)^3+((ROUND(Assumptions!$B$6*(1+Assumptions!$B$27)^3,0)*0.35*(Assumptions!$B$10-Assumptions!$B$11)*Assumptions!$B$14*170*Assumptions!$B$16)-((Assumptions!$B$20*12*Assumptions!$B$21+Assumptions!$B$22)))/(1+Assumptions!$B$25)^4+((ROUND(Assumptions!$B$6*(1+Assumptions!$B$27)^4,0)*0.35*(Assumptions!$B$10-Assumptions!$B$11)*Assumptions!$B$14*170*Assumptions!$B$16)-((Assumptions!$B$20*12*Assumptions!$B$21+Assumptions!$B$22)))/(1+Assumptions!$B$25)^5</f>
        <v>955758.823704419</v>
      </c>
    </row>
    <row r="9" customFormat="false" ht="15" hidden="false" customHeight="false" outlineLevel="0" collapsed="false">
      <c r="A9" s="22" t="n">
        <v>195</v>
      </c>
      <c r="B9" s="34" t="n">
        <f aca="false">((ROUND(Assumptions!$B$6*(1+Assumptions!$B$27)^0,0)*0.1*(Assumptions!$B$10-Assumptions!$B$11)*Assumptions!$B$14*195*Assumptions!$B$16)-((Assumptions!$B$20*12*Assumptions!$B$21+Assumptions!$B$22)+Assumptions!$B$19))/(1+Assumptions!$B$25)^1+((ROUND(Assumptions!$B$6*(1+Assumptions!$B$27)^1,0)*0.1*(Assumptions!$B$10-Assumptions!$B$11)*Assumptions!$B$14*195*Assumptions!$B$16)-((Assumptions!$B$20*12*Assumptions!$B$21+Assumptions!$B$22)))/(1+Assumptions!$B$25)^2+((ROUND(Assumptions!$B$6*(1+Assumptions!$B$27)^2,0)*0.1*(Assumptions!$B$10-Assumptions!$B$11)*Assumptions!$B$14*195*Assumptions!$B$16)-((Assumptions!$B$20*12*Assumptions!$B$21+Assumptions!$B$22)))/(1+Assumptions!$B$25)^3+((ROUND(Assumptions!$B$6*(1+Assumptions!$B$27)^3,0)*0.1*(Assumptions!$B$10-Assumptions!$B$11)*Assumptions!$B$14*195*Assumptions!$B$16)-((Assumptions!$B$20*12*Assumptions!$B$21+Assumptions!$B$22)))/(1+Assumptions!$B$25)^4+((ROUND(Assumptions!$B$6*(1+Assumptions!$B$27)^4,0)*0.1*(Assumptions!$B$10-Assumptions!$B$11)*Assumptions!$B$14*195*Assumptions!$B$16)-((Assumptions!$B$20*12*Assumptions!$B$21+Assumptions!$B$22)))/(1+Assumptions!$B$25)^5</f>
        <v>242111.792583551</v>
      </c>
      <c r="C9" s="34" t="n">
        <f aca="false">((ROUND(Assumptions!$B$6*(1+Assumptions!$B$27)^0,0)*0.15*(Assumptions!$B$10-Assumptions!$B$11)*Assumptions!$B$14*195*Assumptions!$B$16)-((Assumptions!$B$20*12*Assumptions!$B$21+Assumptions!$B$22)+Assumptions!$B$19))/(1+Assumptions!$B$25)^1+((ROUND(Assumptions!$B$6*(1+Assumptions!$B$27)^1,0)*0.15*(Assumptions!$B$10-Assumptions!$B$11)*Assumptions!$B$14*195*Assumptions!$B$16)-((Assumptions!$B$20*12*Assumptions!$B$21+Assumptions!$B$22)))/(1+Assumptions!$B$25)^2+((ROUND(Assumptions!$B$6*(1+Assumptions!$B$27)^2,0)*0.15*(Assumptions!$B$10-Assumptions!$B$11)*Assumptions!$B$14*195*Assumptions!$B$16)-((Assumptions!$B$20*12*Assumptions!$B$21+Assumptions!$B$22)))/(1+Assumptions!$B$25)^3+((ROUND(Assumptions!$B$6*(1+Assumptions!$B$27)^3,0)*0.15*(Assumptions!$B$10-Assumptions!$B$11)*Assumptions!$B$14*195*Assumptions!$B$16)-((Assumptions!$B$20*12*Assumptions!$B$21+Assumptions!$B$22)))/(1+Assumptions!$B$25)^4+((ROUND(Assumptions!$B$6*(1+Assumptions!$B$27)^4,0)*0.15*(Assumptions!$B$10-Assumptions!$B$11)*Assumptions!$B$14*195*Assumptions!$B$16)-((Assumptions!$B$20*12*Assumptions!$B$21+Assumptions!$B$22)))/(1+Assumptions!$B$25)^5</f>
        <v>416063.256419262</v>
      </c>
      <c r="D9" s="34" t="n">
        <f aca="false">((ROUND(Assumptions!$B$6*(1+Assumptions!$B$27)^0,0)*0.2*(Assumptions!$B$10-Assumptions!$B$11)*Assumptions!$B$14*195*Assumptions!$B$16)-((Assumptions!$B$20*12*Assumptions!$B$21+Assumptions!$B$22)+Assumptions!$B$19))/(1+Assumptions!$B$25)^1+((ROUND(Assumptions!$B$6*(1+Assumptions!$B$27)^1,0)*0.2*(Assumptions!$B$10-Assumptions!$B$11)*Assumptions!$B$14*195*Assumptions!$B$16)-((Assumptions!$B$20*12*Assumptions!$B$21+Assumptions!$B$22)))/(1+Assumptions!$B$25)^2+((ROUND(Assumptions!$B$6*(1+Assumptions!$B$27)^2,0)*0.2*(Assumptions!$B$10-Assumptions!$B$11)*Assumptions!$B$14*195*Assumptions!$B$16)-((Assumptions!$B$20*12*Assumptions!$B$21+Assumptions!$B$22)))/(1+Assumptions!$B$25)^3+((ROUND(Assumptions!$B$6*(1+Assumptions!$B$27)^3,0)*0.2*(Assumptions!$B$10-Assumptions!$B$11)*Assumptions!$B$14*195*Assumptions!$B$16)-((Assumptions!$B$20*12*Assumptions!$B$21+Assumptions!$B$22)))/(1+Assumptions!$B$25)^4+((ROUND(Assumptions!$B$6*(1+Assumptions!$B$27)^4,0)*0.2*(Assumptions!$B$10-Assumptions!$B$11)*Assumptions!$B$14*195*Assumptions!$B$16)-((Assumptions!$B$20*12*Assumptions!$B$21+Assumptions!$B$22)))/(1+Assumptions!$B$25)^5</f>
        <v>590014.720254974</v>
      </c>
      <c r="E9" s="34" t="n">
        <f aca="false">((ROUND(Assumptions!$B$6*(1+Assumptions!$B$27)^0,0)*0.256*(Assumptions!$B$10-Assumptions!$B$11)*Assumptions!$B$14*195*Assumptions!$B$16)-((Assumptions!$B$20*12*Assumptions!$B$21+Assumptions!$B$22)+Assumptions!$B$19))/(1+Assumptions!$B$25)^1+((ROUND(Assumptions!$B$6*(1+Assumptions!$B$27)^1,0)*0.256*(Assumptions!$B$10-Assumptions!$B$11)*Assumptions!$B$14*195*Assumptions!$B$16)-((Assumptions!$B$20*12*Assumptions!$B$21+Assumptions!$B$22)))/(1+Assumptions!$B$25)^2+((ROUND(Assumptions!$B$6*(1+Assumptions!$B$27)^2,0)*0.256*(Assumptions!$B$10-Assumptions!$B$11)*Assumptions!$B$14*195*Assumptions!$B$16)-((Assumptions!$B$20*12*Assumptions!$B$21+Assumptions!$B$22)))/(1+Assumptions!$B$25)^3+((ROUND(Assumptions!$B$6*(1+Assumptions!$B$27)^3,0)*0.256*(Assumptions!$B$10-Assumptions!$B$11)*Assumptions!$B$14*195*Assumptions!$B$16)-((Assumptions!$B$20*12*Assumptions!$B$21+Assumptions!$B$22)))/(1+Assumptions!$B$25)^4+((ROUND(Assumptions!$B$6*(1+Assumptions!$B$27)^4,0)*0.256*(Assumptions!$B$10-Assumptions!$B$11)*Assumptions!$B$14*195*Assumptions!$B$16)-((Assumptions!$B$20*12*Assumptions!$B$21+Assumptions!$B$22)))/(1+Assumptions!$B$25)^5</f>
        <v>784840.359750971</v>
      </c>
      <c r="F9" s="34" t="n">
        <f aca="false">((ROUND(Assumptions!$B$6*(1+Assumptions!$B$27)^0,0)*0.3*(Assumptions!$B$10-Assumptions!$B$11)*Assumptions!$B$14*195*Assumptions!$B$16)-((Assumptions!$B$20*12*Assumptions!$B$21+Assumptions!$B$22)+Assumptions!$B$19))/(1+Assumptions!$B$25)^1+((ROUND(Assumptions!$B$6*(1+Assumptions!$B$27)^1,0)*0.3*(Assumptions!$B$10-Assumptions!$B$11)*Assumptions!$B$14*195*Assumptions!$B$16)-((Assumptions!$B$20*12*Assumptions!$B$21+Assumptions!$B$22)))/(1+Assumptions!$B$25)^2+((ROUND(Assumptions!$B$6*(1+Assumptions!$B$27)^2,0)*0.3*(Assumptions!$B$10-Assumptions!$B$11)*Assumptions!$B$14*195*Assumptions!$B$16)-((Assumptions!$B$20*12*Assumptions!$B$21+Assumptions!$B$22)))/(1+Assumptions!$B$25)^3+((ROUND(Assumptions!$B$6*(1+Assumptions!$B$27)^3,0)*0.3*(Assumptions!$B$10-Assumptions!$B$11)*Assumptions!$B$14*195*Assumptions!$B$16)-((Assumptions!$B$20*12*Assumptions!$B$21+Assumptions!$B$22)))/(1+Assumptions!$B$25)^4+((ROUND(Assumptions!$B$6*(1+Assumptions!$B$27)^4,0)*0.3*(Assumptions!$B$10-Assumptions!$B$11)*Assumptions!$B$14*195*Assumptions!$B$16)-((Assumptions!$B$20*12*Assumptions!$B$21+Assumptions!$B$22)))/(1+Assumptions!$B$25)^5</f>
        <v>937917.647926398</v>
      </c>
      <c r="G9" s="34" t="n">
        <f aca="false">((ROUND(Assumptions!$B$6*(1+Assumptions!$B$27)^0,0)*0.35*(Assumptions!$B$10-Assumptions!$B$11)*Assumptions!$B$14*195*Assumptions!$B$16)-((Assumptions!$B$20*12*Assumptions!$B$21+Assumptions!$B$22)+Assumptions!$B$19))/(1+Assumptions!$B$25)^1+((ROUND(Assumptions!$B$6*(1+Assumptions!$B$27)^1,0)*0.35*(Assumptions!$B$10-Assumptions!$B$11)*Assumptions!$B$14*195*Assumptions!$B$16)-((Assumptions!$B$20*12*Assumptions!$B$21+Assumptions!$B$22)))/(1+Assumptions!$B$25)^2+((ROUND(Assumptions!$B$6*(1+Assumptions!$B$27)^2,0)*0.35*(Assumptions!$B$10-Assumptions!$B$11)*Assumptions!$B$14*195*Assumptions!$B$16)-((Assumptions!$B$20*12*Assumptions!$B$21+Assumptions!$B$22)))/(1+Assumptions!$B$25)^3+((ROUND(Assumptions!$B$6*(1+Assumptions!$B$27)^3,0)*0.35*(Assumptions!$B$10-Assumptions!$B$11)*Assumptions!$B$14*195*Assumptions!$B$16)-((Assumptions!$B$20*12*Assumptions!$B$21+Assumptions!$B$22)))/(1+Assumptions!$B$25)^4+((ROUND(Assumptions!$B$6*(1+Assumptions!$B$27)^4,0)*0.35*(Assumptions!$B$10-Assumptions!$B$11)*Assumptions!$B$14*195*Assumptions!$B$16)-((Assumptions!$B$20*12*Assumptions!$B$21+Assumptions!$B$22)))/(1+Assumptions!$B$25)^5</f>
        <v>1111869.11176211</v>
      </c>
    </row>
    <row r="12" customFormat="false" ht="15" hidden="false" customHeight="true" outlineLevel="0" collapsed="false">
      <c r="A12" s="12" t="s">
        <v>118</v>
      </c>
      <c r="B12" s="12"/>
      <c r="C12" s="12"/>
      <c r="D12" s="12"/>
      <c r="E12" s="12"/>
      <c r="F12" s="12"/>
      <c r="G12" s="12"/>
    </row>
    <row r="13" customFormat="false" ht="15" hidden="false" customHeight="false" outlineLevel="0" collapsed="false">
      <c r="A13" s="12"/>
      <c r="B13" s="12"/>
      <c r="C13" s="12"/>
      <c r="D13" s="12"/>
      <c r="E13" s="12"/>
      <c r="F13" s="12"/>
      <c r="G13" s="12"/>
    </row>
  </sheetData>
  <mergeCells count="1">
    <mergeCell ref="A12: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2026-09-07T10:17:32Z</dcterms:created>
  <dc:creator>openpyxl</dc:creator>
  <dc:description/>
  <dc:language>en-US</dc:language>
  <cp:lastModifiedBy/>
  <dcterms:modified xsi:type="dcterms:W3CDTF">2026-09-07T10:17:32Z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