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 Executive Summary" sheetId="1" state="visible" r:id="rId3"/>
    <sheet name="02 Raw Cost Data" sheetId="2" state="visible" r:id="rId4"/>
    <sheet name="03 Optimization Events" sheetId="3" state="visible" r:id="rId5"/>
    <sheet name="04 Savings Attribution" sheetId="4" state="visible" r:id="rId6"/>
    <sheet name="05 Budget vs Actual" sheetId="5" state="visible" r:id="rId7"/>
    <sheet name="06 Forecast" sheetId="6" state="visible" r:id="rId8"/>
    <sheet name="07 ROI Analysis" sheetId="7" state="visible" r:id="rId9"/>
    <sheet name="08 Scenario Analysis" sheetId="8" state="visible" r:id="rId10"/>
    <sheet name="09 Sensitivity Analysis" sheetId="9" state="visible" r:id="rId11"/>
    <sheet name="10 Assumptions" sheetId="10" state="visible" r:id="rId12"/>
    <sheet name="11 KPI Dashboard"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<sst xmlns="http://schemas.openxmlformats.org/spreadsheetml/2006/main" count="983" uniqueCount="562">
  <si>
    <t xml:space="preserve">CostProof — finance model</t>
  </si>
  <si>
    <t xml:space="preserve">The output of a causal cost-measurement engine, delivered as an FP&amp;A workbook.</t>
  </si>
  <si>
    <t xml:space="preserve">SIMULATED DATA. The estate is synthetic (FOCUS 1.2, 400 resources, 540 days). Figures illustrate the method; ground truth exists only because the data is simulated.</t>
  </si>
  <si>
    <t xml:space="preserve">The problem</t>
  </si>
  <si>
    <t xml:space="preserve">Every cloud cost tool reports what was spent. None can prove what an optimisation saved,</t>
  </si>
  <si>
    <t xml:space="preserve">because teams act on spikes and spikes revert on their own. Before/after comparison</t>
  </si>
  <si>
    <t xml:space="preserve">credits the team for gravity. This workbook shows what changes when the saving is</t>
  </si>
  <si>
    <t xml:space="preserve">measured against a control group instead.</t>
  </si>
  <si>
    <t xml:space="preserve">Two workbooks, two questions</t>
  </si>
  <si>
    <t xml:space="preserve">costproof-business-case.xlsx asks: should an organisation buy the measurement layer?</t>
  </si>
  <si>
    <t xml:space="preserve">Its NPV counts only decision quality -- effort not wasted on fixes that did nothing.</t>
  </si>
  <si>
    <t xml:space="preserve">This workbook asks: what did the optimisation programme itself deliver, measured</t>
  </si>
  <si>
    <t xml:space="preserve">properly, and what is that worth? Its savings are the cloud savings; its costs are the</t>
  </si>
  <si>
    <t xml:space="preserve">engineering to achieve them plus the team that measures them. Different question,</t>
  </si>
  <si>
    <t xml:space="preserve">different NPV. Neither is the other one restated.</t>
  </si>
  <si>
    <t xml:space="preserve">Headline figures (formulas; active scenario)</t>
  </si>
  <si>
    <t xml:space="preserve">Measure</t>
  </si>
  <si>
    <t xml:space="preserve">Value</t>
  </si>
  <si>
    <t xml:space="preserve">Where it comes from</t>
  </si>
  <si>
    <t xml:space="preserve">Events measured</t>
  </si>
  <si>
    <t xml:space="preserve">Savings Attribution</t>
  </si>
  <si>
    <t xml:space="preserve">Passing the parallel-trends check</t>
  </si>
  <si>
    <t xml:space="preserve">Before/after would report, per year</t>
  </si>
  <si>
    <t xml:space="preserve">Savings Attribution — the industry's number</t>
  </si>
  <si>
    <t xml:space="preserve">Credited savings, per year</t>
  </si>
  <si>
    <t xml:space="preserve">Savings Attribution — identified, gated</t>
  </si>
  <si>
    <t xml:space="preserve">Difference the method makes</t>
  </si>
  <si>
    <t xml:space="preserve">ROI Analysis</t>
  </si>
  <si>
    <t xml:space="preserve">Programme NPV, five years</t>
  </si>
  <si>
    <t xml:space="preserve">Benefit-to-cost ratio</t>
  </si>
  <si>
    <t xml:space="preserve">Payback, months</t>
  </si>
  <si>
    <t xml:space="preserve">Budget variance over the period</t>
  </si>
  <si>
    <t xml:space="preserve">Budget vs Actual</t>
  </si>
  <si>
    <t xml:space="preserve">SIMULATED: gross misattribution in before/after</t>
  </si>
  <si>
    <t xml:space="preserve">Savings Attribution — needs ground truth</t>
  </si>
  <si>
    <t xml:space="preserve">Active scenario / attribution policy</t>
  </si>
  <si>
    <t xml:space="preserve">Assumptions</t>
  </si>
  <si>
    <t xml:space="preserve">How to read this workbook</t>
  </si>
  <si>
    <t xml:space="preserve">Blue cells are inputs; black cells are formulas; green cells link to another sheet.</t>
  </si>
  <si>
    <t xml:space="preserve">Only estimates that pass the parallel-trends check are credited, unless you flip the</t>
  </si>
  <si>
    <t xml:space="preserve">policy switch on Assumptions. Bear/Bull/Base are execution scenarios, not measurement</t>
  </si>
  <si>
    <t xml:space="preserve">scenarios: the estimator's own error is quantified on Savings Attribution.</t>
  </si>
  <si>
    <t xml:space="preserve">Peach cells use simulated ground truth. They are the reason the method can be</t>
  </si>
  <si>
    <t xml:space="preserve">validated here and the reason it would be needed on real data, where they do not exist.</t>
  </si>
  <si>
    <t xml:space="preserve">Sheets</t>
  </si>
  <si>
    <t xml:space="preserve">02 Raw Cost Data</t>
  </si>
  <si>
    <t xml:space="preserve">monthly cost by business unit; the pivot is formulas</t>
  </si>
  <si>
    <t xml:space="preserve">03 Optimization Events</t>
  </si>
  <si>
    <t xml:space="preserve">the intervention register</t>
  </si>
  <si>
    <t xml:space="preserve">04 Savings Attribution</t>
  </si>
  <si>
    <t xml:space="preserve">per-event estimates, the gate, the credited total</t>
  </si>
  <si>
    <t xml:space="preserve">05 Budget vs Actual</t>
  </si>
  <si>
    <t xml:space="preserve">run-rate budget vs actual, by unit and month</t>
  </si>
  <si>
    <t xml:space="preserve">06 Forecast</t>
  </si>
  <si>
    <t xml:space="preserve">twelve months forward, two methods</t>
  </si>
  <si>
    <t xml:space="preserve">07 ROI Analysis</t>
  </si>
  <si>
    <t xml:space="preserve">programme cash flows, NPV, ROI, IRR, payback</t>
  </si>
  <si>
    <t xml:space="preserve">08 Scenario Analysis</t>
  </si>
  <si>
    <t xml:space="preserve">Base / Bull / Bear side by side</t>
  </si>
  <si>
    <t xml:space="preserve">09 Sensitivity Analysis</t>
  </si>
  <si>
    <t xml:space="preserve">NPV grids over four drivers</t>
  </si>
  <si>
    <t xml:space="preserve">10 Assumptions</t>
  </si>
  <si>
    <t xml:space="preserve">every input, in one place</t>
  </si>
  <si>
    <t xml:space="preserve">11 KPI Dashboard</t>
  </si>
  <si>
    <t xml:space="preserve">tiles and charts</t>
  </si>
  <si>
    <t xml:space="preserve">Generated by scripts/build_finance_model.py from the pipeline's own outputs. Regenerate after `costproof study`; nothing here is typed in.</t>
  </si>
  <si>
    <t xml:space="preserve">Raw cost data</t>
  </si>
  <si>
    <t xml:space="preserve">Monthly effective, billed and list cost by business unit, from the silver layer (Usage rows, complete months only). The pivot on the right is formulas.</t>
  </si>
  <si>
    <t xml:space="preserve">Effective cost by month and business unit (SUMIFS over the table)</t>
  </si>
  <si>
    <t xml:space="preserve">Month</t>
  </si>
  <si>
    <t xml:space="preserve">Business unit</t>
  </si>
  <si>
    <t xml:space="preserve">Effective cost</t>
  </si>
  <si>
    <t xml:space="preserve">Billed cost</t>
  </si>
  <si>
    <t xml:space="preserve">List cost</t>
  </si>
  <si>
    <t xml:space="preserve">#</t>
  </si>
  <si>
    <t xml:space="preserve">bu-assist</t>
  </si>
  <si>
    <t xml:space="preserve">bu-checkout</t>
  </si>
  <si>
    <t xml:space="preserve">bu-datalake</t>
  </si>
  <si>
    <t xml:space="preserve">bu-datasci</t>
  </si>
  <si>
    <t xml:space="preserve">bu-platform</t>
  </si>
  <si>
    <t xml:space="preserve">bu-search</t>
  </si>
  <si>
    <t xml:space="preserve">unallocated</t>
  </si>
  <si>
    <t xml:space="preserve">Total</t>
  </si>
  <si>
    <t xml:space="preserve">Effective cost is used throughout: it amortises commitments across the period they cover. Billed cost would show prepaid resources as free.</t>
  </si>
  <si>
    <t xml:space="preserve">Optimisation events</t>
  </si>
  <si>
    <t xml:space="preserve">Every intervention the study measured: what was done, to which resource, when, and what it was costing beforehand. The register the attribution sheet reads.</t>
  </si>
  <si>
    <t xml:space="preserve">Events by action</t>
  </si>
  <si>
    <t xml:space="preserve">Event</t>
  </si>
  <si>
    <t xml:space="preserve">Resource</t>
  </si>
  <si>
    <t xml:space="preserve">Action</t>
  </si>
  <si>
    <t xml:space="preserve">Action date</t>
  </si>
  <si>
    <t xml:space="preserve">Trigger z</t>
  </si>
  <si>
    <t xml:space="preserve">Donors</t>
  </si>
  <si>
    <t xml:space="preserve">Pre-period daily run-rate</t>
  </si>
  <si>
    <t xml:space="preserve">Annualised run-rate</t>
  </si>
  <si>
    <t xml:space="preserve">Count</t>
  </si>
  <si>
    <t xml:space="preserve">i-114</t>
  </si>
  <si>
    <t xml:space="preserve">r-0026</t>
  </si>
  <si>
    <t xml:space="preserve">delete_orphaned_volume</t>
  </si>
  <si>
    <t xml:space="preserve">cache_inference_results</t>
  </si>
  <si>
    <t xml:space="preserve">i-028</t>
  </si>
  <si>
    <t xml:space="preserve">r-0059</t>
  </si>
  <si>
    <t xml:space="preserve">consolidate_cluster</t>
  </si>
  <si>
    <t xml:space="preserve">i-088</t>
  </si>
  <si>
    <t xml:space="preserve">r-0260</t>
  </si>
  <si>
    <t xml:space="preserve">i-027</t>
  </si>
  <si>
    <t xml:space="preserve">r-0374</t>
  </si>
  <si>
    <t xml:space="preserve">enable_autoscaling</t>
  </si>
  <si>
    <t xml:space="preserve">i-030</t>
  </si>
  <si>
    <t xml:space="preserve">r-0097</t>
  </si>
  <si>
    <t xml:space="preserve">migrate_storage_class</t>
  </si>
  <si>
    <t xml:space="preserve">i-049</t>
  </si>
  <si>
    <t xml:space="preserve">r-0372</t>
  </si>
  <si>
    <t xml:space="preserve">rightsize_instance</t>
  </si>
  <si>
    <t xml:space="preserve">i-029</t>
  </si>
  <si>
    <t xml:space="preserve">r-0164</t>
  </si>
  <si>
    <t xml:space="preserve">tune_batch_size</t>
  </si>
  <si>
    <t xml:space="preserve">schedule_shutdown</t>
  </si>
  <si>
    <t xml:space="preserve">i-011</t>
  </si>
  <si>
    <t xml:space="preserve">r-0352</t>
  </si>
  <si>
    <t xml:space="preserve">i-014</t>
  </si>
  <si>
    <t xml:space="preserve">r-0227</t>
  </si>
  <si>
    <t xml:space="preserve">i-042</t>
  </si>
  <si>
    <t xml:space="preserve">r-0295</t>
  </si>
  <si>
    <t xml:space="preserve">i-067</t>
  </si>
  <si>
    <t xml:space="preserve">r-0307</t>
  </si>
  <si>
    <t xml:space="preserve">Run-rate = mean daily effective cost over the 84 days before the action, the same window the estimator uses.</t>
  </si>
  <si>
    <t xml:space="preserve">i-093</t>
  </si>
  <si>
    <t xml:space="preserve">r-0155</t>
  </si>
  <si>
    <t xml:space="preserve">i-019</t>
  </si>
  <si>
    <t xml:space="preserve">r-0041</t>
  </si>
  <si>
    <t xml:space="preserve">i-043</t>
  </si>
  <si>
    <t xml:space="preserve">r-0375</t>
  </si>
  <si>
    <t xml:space="preserve">i-034</t>
  </si>
  <si>
    <t xml:space="preserve">r-0314</t>
  </si>
  <si>
    <t xml:space="preserve">i-055</t>
  </si>
  <si>
    <t xml:space="preserve">r-0376</t>
  </si>
  <si>
    <t xml:space="preserve">i-036</t>
  </si>
  <si>
    <t xml:space="preserve">r-0350</t>
  </si>
  <si>
    <t xml:space="preserve">i-003</t>
  </si>
  <si>
    <t xml:space="preserve">r-0092</t>
  </si>
  <si>
    <t xml:space="preserve">i-111</t>
  </si>
  <si>
    <t xml:space="preserve">r-0282</t>
  </si>
  <si>
    <t xml:space="preserve">i-015</t>
  </si>
  <si>
    <t xml:space="preserve">r-0131</t>
  </si>
  <si>
    <t xml:space="preserve">i-054</t>
  </si>
  <si>
    <t xml:space="preserve">r-0255</t>
  </si>
  <si>
    <t xml:space="preserve">i-090</t>
  </si>
  <si>
    <t xml:space="preserve">r-0000</t>
  </si>
  <si>
    <t xml:space="preserve">i-097</t>
  </si>
  <si>
    <t xml:space="preserve">r-0005</t>
  </si>
  <si>
    <t xml:space="preserve">i-075</t>
  </si>
  <si>
    <t xml:space="preserve">r-0021</t>
  </si>
  <si>
    <t xml:space="preserve">i-070</t>
  </si>
  <si>
    <t xml:space="preserve">r-0022</t>
  </si>
  <si>
    <t xml:space="preserve">i-079</t>
  </si>
  <si>
    <t xml:space="preserve">r-0169</t>
  </si>
  <si>
    <t xml:space="preserve">i-005</t>
  </si>
  <si>
    <t xml:space="preserve">r-0371</t>
  </si>
  <si>
    <t xml:space="preserve">i-002</t>
  </si>
  <si>
    <t xml:space="preserve">r-0222</t>
  </si>
  <si>
    <t xml:space="preserve">i-026</t>
  </si>
  <si>
    <t xml:space="preserve">r-0386</t>
  </si>
  <si>
    <t xml:space="preserve">i-076</t>
  </si>
  <si>
    <t xml:space="preserve">r-0251</t>
  </si>
  <si>
    <t xml:space="preserve">i-056</t>
  </si>
  <si>
    <t xml:space="preserve">r-0339</t>
  </si>
  <si>
    <t xml:space="preserve">i-035</t>
  </si>
  <si>
    <t xml:space="preserve">r-0043</t>
  </si>
  <si>
    <t xml:space="preserve">i-044</t>
  </si>
  <si>
    <t xml:space="preserve">r-0395</t>
  </si>
  <si>
    <t xml:space="preserve">i-094</t>
  </si>
  <si>
    <t xml:space="preserve">r-0206</t>
  </si>
  <si>
    <t xml:space="preserve">i-080</t>
  </si>
  <si>
    <t xml:space="preserve">r-0101</t>
  </si>
  <si>
    <t xml:space="preserve">i-061</t>
  </si>
  <si>
    <t xml:space="preserve">r-0216</t>
  </si>
  <si>
    <t xml:space="preserve">i-018</t>
  </si>
  <si>
    <t xml:space="preserve">r-0389</t>
  </si>
  <si>
    <t xml:space="preserve">i-012</t>
  </si>
  <si>
    <t xml:space="preserve">r-0241</t>
  </si>
  <si>
    <t xml:space="preserve">i-046</t>
  </si>
  <si>
    <t xml:space="preserve">r-0094</t>
  </si>
  <si>
    <t xml:space="preserve">i-087</t>
  </si>
  <si>
    <t xml:space="preserve">r-0105</t>
  </si>
  <si>
    <t xml:space="preserve">i-037</t>
  </si>
  <si>
    <t xml:space="preserve">r-0230</t>
  </si>
  <si>
    <t xml:space="preserve">i-059</t>
  </si>
  <si>
    <t xml:space="preserve">r-0007</t>
  </si>
  <si>
    <t xml:space="preserve">i-116</t>
  </si>
  <si>
    <t xml:space="preserve">r-0345</t>
  </si>
  <si>
    <t xml:space="preserve">i-089</t>
  </si>
  <si>
    <t xml:space="preserve">r-0360</t>
  </si>
  <si>
    <t xml:space="preserve">i-085</t>
  </si>
  <si>
    <t xml:space="preserve">r-0122</t>
  </si>
  <si>
    <t xml:space="preserve">i-086</t>
  </si>
  <si>
    <t xml:space="preserve">r-0331</t>
  </si>
  <si>
    <t xml:space="preserve">i-001</t>
  </si>
  <si>
    <t xml:space="preserve">r-0018</t>
  </si>
  <si>
    <t xml:space="preserve">i-038</t>
  </si>
  <si>
    <t xml:space="preserve">r-0322</t>
  </si>
  <si>
    <t xml:space="preserve">i-068</t>
  </si>
  <si>
    <t xml:space="preserve">r-0359</t>
  </si>
  <si>
    <t xml:space="preserve">i-102</t>
  </si>
  <si>
    <t xml:space="preserve">r-0269</t>
  </si>
  <si>
    <t xml:space="preserve">i-000</t>
  </si>
  <si>
    <t xml:space="preserve">r-0163</t>
  </si>
  <si>
    <t xml:space="preserve">i-041</t>
  </si>
  <si>
    <t xml:space="preserve">r-0012</t>
  </si>
  <si>
    <t xml:space="preserve">i-110</t>
  </si>
  <si>
    <t xml:space="preserve">r-0143</t>
  </si>
  <si>
    <t xml:space="preserve">i-109</t>
  </si>
  <si>
    <t xml:space="preserve">r-0187</t>
  </si>
  <si>
    <t xml:space="preserve">i-051</t>
  </si>
  <si>
    <t xml:space="preserve">r-0361</t>
  </si>
  <si>
    <t xml:space="preserve">i-058</t>
  </si>
  <si>
    <t xml:space="preserve">r-0306</t>
  </si>
  <si>
    <t xml:space="preserve">i-057</t>
  </si>
  <si>
    <t xml:space="preserve">r-0166</t>
  </si>
  <si>
    <t xml:space="preserve">i-081</t>
  </si>
  <si>
    <t xml:space="preserve">r-0004</t>
  </si>
  <si>
    <t xml:space="preserve">i-004</t>
  </si>
  <si>
    <t xml:space="preserve">r-0388</t>
  </si>
  <si>
    <t xml:space="preserve">i-092</t>
  </si>
  <si>
    <t xml:space="preserve">r-0334</t>
  </si>
  <si>
    <t xml:space="preserve">i-100</t>
  </si>
  <si>
    <t xml:space="preserve">r-0364</t>
  </si>
  <si>
    <t xml:space="preserve">i-113</t>
  </si>
  <si>
    <t xml:space="preserve">r-0317</t>
  </si>
  <si>
    <t xml:space="preserve">i-017</t>
  </si>
  <si>
    <t xml:space="preserve">r-0356</t>
  </si>
  <si>
    <t xml:space="preserve">i-112</t>
  </si>
  <si>
    <t xml:space="preserve">r-0073</t>
  </si>
  <si>
    <t xml:space="preserve">i-048</t>
  </si>
  <si>
    <t xml:space="preserve">r-0125</t>
  </si>
  <si>
    <t xml:space="preserve">i-077</t>
  </si>
  <si>
    <t xml:space="preserve">r-0243</t>
  </si>
  <si>
    <t xml:space="preserve">i-047</t>
  </si>
  <si>
    <t xml:space="preserve">r-0279</t>
  </si>
  <si>
    <t xml:space="preserve">i-033</t>
  </si>
  <si>
    <t xml:space="preserve">r-0392</t>
  </si>
  <si>
    <t xml:space="preserve">i-082</t>
  </si>
  <si>
    <t xml:space="preserve">r-0025</t>
  </si>
  <si>
    <t xml:space="preserve">i-078</t>
  </si>
  <si>
    <t xml:space="preserve">r-0316</t>
  </si>
  <si>
    <t xml:space="preserve">i-106</t>
  </si>
  <si>
    <t xml:space="preserve">r-0315</t>
  </si>
  <si>
    <t xml:space="preserve">i-096</t>
  </si>
  <si>
    <t xml:space="preserve">r-0082</t>
  </si>
  <si>
    <t xml:space="preserve">i-098</t>
  </si>
  <si>
    <t xml:space="preserve">r-0014</t>
  </si>
  <si>
    <t xml:space="preserve">i-009</t>
  </si>
  <si>
    <t xml:space="preserve">r-0212</t>
  </si>
  <si>
    <t xml:space="preserve">i-064</t>
  </si>
  <si>
    <t xml:space="preserve">r-0284</t>
  </si>
  <si>
    <t xml:space="preserve">i-031</t>
  </si>
  <si>
    <t xml:space="preserve">r-0118</t>
  </si>
  <si>
    <t xml:space="preserve">i-074</t>
  </si>
  <si>
    <t xml:space="preserve">r-0233</t>
  </si>
  <si>
    <t xml:space="preserve">i-010</t>
  </si>
  <si>
    <t xml:space="preserve">r-0137</t>
  </si>
  <si>
    <t xml:space="preserve">i-022</t>
  </si>
  <si>
    <t xml:space="preserve">r-0391</t>
  </si>
  <si>
    <t xml:space="preserve">i-104</t>
  </si>
  <si>
    <t xml:space="preserve">r-0089</t>
  </si>
  <si>
    <t xml:space="preserve">i-040</t>
  </si>
  <si>
    <t xml:space="preserve">r-0219</t>
  </si>
  <si>
    <t xml:space="preserve">i-050</t>
  </si>
  <si>
    <t xml:space="preserve">r-0341</t>
  </si>
  <si>
    <t xml:space="preserve">i-052</t>
  </si>
  <si>
    <t xml:space="preserve">r-0095</t>
  </si>
  <si>
    <t xml:space="preserve">i-039</t>
  </si>
  <si>
    <t xml:space="preserve">r-0067</t>
  </si>
  <si>
    <t xml:space="preserve">i-091</t>
  </si>
  <si>
    <t xml:space="preserve">r-0108</t>
  </si>
  <si>
    <t xml:space="preserve">i-063</t>
  </si>
  <si>
    <t xml:space="preserve">r-0133</t>
  </si>
  <si>
    <t xml:space="preserve">i-072</t>
  </si>
  <si>
    <t xml:space="preserve">r-0049</t>
  </si>
  <si>
    <t xml:space="preserve">i-020</t>
  </si>
  <si>
    <t xml:space="preserve">r-0062</t>
  </si>
  <si>
    <t xml:space="preserve">i-032</t>
  </si>
  <si>
    <t xml:space="preserve">r-0056</t>
  </si>
  <si>
    <t xml:space="preserve">i-103</t>
  </si>
  <si>
    <t xml:space="preserve">r-0304</t>
  </si>
  <si>
    <t xml:space="preserve">i-025</t>
  </si>
  <si>
    <t xml:space="preserve">r-0096</t>
  </si>
  <si>
    <t xml:space="preserve">i-006</t>
  </si>
  <si>
    <t xml:space="preserve">r-0373</t>
  </si>
  <si>
    <t xml:space="preserve">i-007</t>
  </si>
  <si>
    <t xml:space="preserve">r-0268</t>
  </si>
  <si>
    <t xml:space="preserve">i-024</t>
  </si>
  <si>
    <t xml:space="preserve">r-0294</t>
  </si>
  <si>
    <t xml:space="preserve">i-107</t>
  </si>
  <si>
    <t xml:space="preserve">r-0208</t>
  </si>
  <si>
    <t xml:space="preserve">i-095</t>
  </si>
  <si>
    <t xml:space="preserve">r-0165</t>
  </si>
  <si>
    <t xml:space="preserve">i-073</t>
  </si>
  <si>
    <t xml:space="preserve">r-0298</t>
  </si>
  <si>
    <t xml:space="preserve">i-069</t>
  </si>
  <si>
    <t xml:space="preserve">r-0301</t>
  </si>
  <si>
    <t xml:space="preserve">i-008</t>
  </si>
  <si>
    <t xml:space="preserve">r-0107</t>
  </si>
  <si>
    <t xml:space="preserve">i-060</t>
  </si>
  <si>
    <t xml:space="preserve">r-0228</t>
  </si>
  <si>
    <t xml:space="preserve">i-105</t>
  </si>
  <si>
    <t xml:space="preserve">r-0213</t>
  </si>
  <si>
    <t xml:space="preserve">i-101</t>
  </si>
  <si>
    <t xml:space="preserve">r-0367</t>
  </si>
  <si>
    <t xml:space="preserve">i-115</t>
  </si>
  <si>
    <t xml:space="preserve">r-0237</t>
  </si>
  <si>
    <t xml:space="preserve">i-062</t>
  </si>
  <si>
    <t xml:space="preserve">r-0042</t>
  </si>
  <si>
    <t xml:space="preserve">i-083</t>
  </si>
  <si>
    <t xml:space="preserve">r-0024</t>
  </si>
  <si>
    <t xml:space="preserve">i-066</t>
  </si>
  <si>
    <t xml:space="preserve">r-0234</t>
  </si>
  <si>
    <t xml:space="preserve">i-099</t>
  </si>
  <si>
    <t xml:space="preserve">r-0296</t>
  </si>
  <si>
    <t xml:space="preserve">i-065</t>
  </si>
  <si>
    <t xml:space="preserve">r-0048</t>
  </si>
  <si>
    <t xml:space="preserve">i-021</t>
  </si>
  <si>
    <t xml:space="preserve">r-0278</t>
  </si>
  <si>
    <t xml:space="preserve">i-045</t>
  </si>
  <si>
    <t xml:space="preserve">r-0154</t>
  </si>
  <si>
    <t xml:space="preserve">i-013</t>
  </si>
  <si>
    <t xml:space="preserve">r-0264</t>
  </si>
  <si>
    <t xml:space="preserve">i-053</t>
  </si>
  <si>
    <t xml:space="preserve">r-0176</t>
  </si>
  <si>
    <t xml:space="preserve">i-023</t>
  </si>
  <si>
    <t xml:space="preserve">r-0138</t>
  </si>
  <si>
    <t xml:space="preserve">i-016</t>
  </si>
  <si>
    <t xml:space="preserve">r-0226</t>
  </si>
  <si>
    <t xml:space="preserve">i-071</t>
  </si>
  <si>
    <t xml:space="preserve">r-0069</t>
  </si>
  <si>
    <t xml:space="preserve">i-084</t>
  </si>
  <si>
    <t xml:space="preserve">r-0147</t>
  </si>
  <si>
    <t xml:space="preserve">i-108</t>
  </si>
  <si>
    <t xml:space="preserve">r-0087</t>
  </si>
  <si>
    <t xml:space="preserve">Savings attribution</t>
  </si>
  <si>
    <t xml:space="preserve">What each event is credited with, on what evidence. Before/after is what the industry reports; the identified estimate is difference-in-differences with randomisation inference; the parallel-trends check decides whether it is credible.</t>
  </si>
  <si>
    <t xml:space="preserve">Peach columns use ground truth, which exists only because the estate is simulated. A real deployment would not have them -- that is the point of needing an estimator at all.</t>
  </si>
  <si>
    <t xml:space="preserve">Before/after effect (log)</t>
  </si>
  <si>
    <t xml:space="preserve">Before/after annual $</t>
  </si>
  <si>
    <t xml:space="preserve">Identified effect (log)</t>
  </si>
  <si>
    <t xml:space="preserve">CI low</t>
  </si>
  <si>
    <t xml:space="preserve">CI high</t>
  </si>
  <si>
    <t xml:space="preserve">p-value</t>
  </si>
  <si>
    <t xml:space="preserve">Parallel trends passed</t>
  </si>
  <si>
    <t xml:space="preserve">Credited?</t>
  </si>
  <si>
    <t xml:space="preserve">Identified annual $</t>
  </si>
  <si>
    <t xml:space="preserve">Credited annual $</t>
  </si>
  <si>
    <t xml:space="preserve">SIMULATED true effect (log)</t>
  </si>
  <si>
    <t xml:space="preserve">SIMULATED true annual $</t>
  </si>
  <si>
    <t xml:space="preserve">|Before/after − true|</t>
  </si>
  <si>
    <t xml:space="preserve">Null event?</t>
  </si>
  <si>
    <t xml:space="preserve">Summary</t>
  </si>
  <si>
    <t xml:space="preserve">Passing parallel trends</t>
  </si>
  <si>
    <t xml:space="preserve">Credited under current policy</t>
  </si>
  <si>
    <t xml:space="preserve">SIMULATED: events with zero true effect</t>
  </si>
  <si>
    <t xml:space="preserve">Before/after would report (annual)</t>
  </si>
  <si>
    <t xml:space="preserve">Identified estimate, all events (annual)</t>
  </si>
  <si>
    <t xml:space="preserve">Credited savings (annual)</t>
  </si>
  <si>
    <t xml:space="preserve">SIMULATED: true savings (annual)</t>
  </si>
  <si>
    <t xml:space="preserve">SIMULATED: gross misattribution of before/after</t>
  </si>
  <si>
    <t xml:space="preserve">SIMULATED: before/after credited to zero-effect events</t>
  </si>
  <si>
    <t xml:space="preserve">SIMULATED: identified estimate on zero-effect events</t>
  </si>
  <si>
    <t xml:space="preserve">SIMULATED: credited to zero-effect events (after gate)</t>
  </si>
  <si>
    <t xml:space="preserve">SIMULATED: before/after error as share of true savings</t>
  </si>
  <si>
    <t xml:space="preserve">Annual $ = −(e^effect − 1) × annualised run-rate. A log effect of −0.10 is a 9.5% cost reduction; the conversion is exact, not approximate.</t>
  </si>
  <si>
    <t xml:space="preserve">Budget vs actual</t>
  </si>
  <si>
    <t xml:space="preserve">Budget = average of the first six complete months, grown monthly at the budget growth assumption. Actuals link to Raw Cost Data. Cost variance: under budget is favourable.</t>
  </si>
  <si>
    <t xml:space="preserve">Monthly growth factor</t>
  </si>
  <si>
    <t xml:space="preserve">(1 + annual budget growth)^(1/12)</t>
  </si>
  <si>
    <t xml:space="preserve">Baseline (avg. months 1–6)</t>
  </si>
  <si>
    <t xml:space="preserve">bu-assist budget</t>
  </si>
  <si>
    <t xml:space="preserve">bu-assist actual</t>
  </si>
  <si>
    <t xml:space="preserve">bu-assist var</t>
  </si>
  <si>
    <t xml:space="preserve">bu-checkout budget</t>
  </si>
  <si>
    <t xml:space="preserve">bu-checkout actual</t>
  </si>
  <si>
    <t xml:space="preserve">bu-checkout var</t>
  </si>
  <si>
    <t xml:space="preserve">bu-datalake budget</t>
  </si>
  <si>
    <t xml:space="preserve">bu-datalake actual</t>
  </si>
  <si>
    <t xml:space="preserve">bu-datalake var</t>
  </si>
  <si>
    <t xml:space="preserve">bu-datasci budget</t>
  </si>
  <si>
    <t xml:space="preserve">bu-datasci actual</t>
  </si>
  <si>
    <t xml:space="preserve">bu-datasci var</t>
  </si>
  <si>
    <t xml:space="preserve">bu-platform budget</t>
  </si>
  <si>
    <t xml:space="preserve">bu-platform actual</t>
  </si>
  <si>
    <t xml:space="preserve">bu-platform var</t>
  </si>
  <si>
    <t xml:space="preserve">bu-search budget</t>
  </si>
  <si>
    <t xml:space="preserve">bu-search actual</t>
  </si>
  <si>
    <t xml:space="preserve">bu-search var</t>
  </si>
  <si>
    <t xml:space="preserve">unallocated budget</t>
  </si>
  <si>
    <t xml:space="preserve">unallocated actual</t>
  </si>
  <si>
    <t xml:space="preserve">unallocated var</t>
  </si>
  <si>
    <t xml:space="preserve">Total budget</t>
  </si>
  <si>
    <t xml:space="preserve">Total actual</t>
  </si>
  <si>
    <t xml:space="preserve">Total variance</t>
  </si>
  <si>
    <t xml:space="preserve">Variance %</t>
  </si>
  <si>
    <t xml:space="preserve">Status</t>
  </si>
  <si>
    <t xml:space="preserve">Every business unit's bill rose over the period. Budget vs actual cannot tell you whether that is growth or waste -- the unit-economics layer in the repository does. This sheet shows the variance; the engine explains it.</t>
  </si>
  <si>
    <t xml:space="preserve">Forecast</t>
  </si>
  <si>
    <t xml:space="preserve">Twelve months forward. Trend = linear regression of each unit's monthly actuals on time (FORECAST). Run-rate = last three months' average grown at the active scenario's cloud growth. Two methods shown so the gap between them is visible.</t>
  </si>
  <si>
    <t xml:space="preserve">Monthly growth factor (active scenario)</t>
  </si>
  <si>
    <t xml:space="preserve">Last 3 months avg. total</t>
  </si>
  <si>
    <t xml:space="preserve">bu-assist (trend)</t>
  </si>
  <si>
    <t xml:space="preserve">bu-checkout (trend)</t>
  </si>
  <si>
    <t xml:space="preserve">bu-datalake (trend)</t>
  </si>
  <si>
    <t xml:space="preserve">bu-datasci (trend)</t>
  </si>
  <si>
    <t xml:space="preserve">bu-platform (trend)</t>
  </si>
  <si>
    <t xml:space="preserve">bu-search (trend)</t>
  </si>
  <si>
    <t xml:space="preserve">unallocated (trend)</t>
  </si>
  <si>
    <t xml:space="preserve">Total (trend)</t>
  </si>
  <si>
    <t xml:space="preserve">Total (run-rate × growth)</t>
  </si>
  <si>
    <t xml:space="preserve">Gap</t>
  </si>
  <si>
    <t xml:space="preserve">12-month total</t>
  </si>
  <si>
    <t xml:space="preserve">A linear trend extrapolates the whole history; the run-rate method trusts only the last quarter. When they disagree by more than ~10%, the recent quarter contains something the trend has not caught up with.</t>
  </si>
  <si>
    <t xml:space="preserve">ROI analysis</t>
  </si>
  <si>
    <t xml:space="preserve">Programme economics under the active scenario. Savings are the credited annual figure from Savings Attribution, scaled by effect realisation and decayed by persistence. Costs are the programme inputs scaled by the cost multiplier.</t>
  </si>
  <si>
    <t xml:space="preserve">Inputs (links)</t>
  </si>
  <si>
    <t xml:space="preserve">Credited annual savings (measurement)</t>
  </si>
  <si>
    <t xml:space="preserve">Effect realisation (scenario)</t>
  </si>
  <si>
    <t xml:space="preserve">Savings persistence (scenario)</t>
  </si>
  <si>
    <t xml:space="preserve">Programme cost multiplier (scenario)</t>
  </si>
  <si>
    <t xml:space="preserve">Discount rate</t>
  </si>
  <si>
    <t xml:space="preserve">Annual programme run cost</t>
  </si>
  <si>
    <t xml:space="preserve">One-time setup (year 0)</t>
  </si>
  <si>
    <t xml:space="preserve">Intervention engineering, one-time (year 0)</t>
  </si>
  <si>
    <t xml:space="preserve">Year-1 ramp</t>
  </si>
  <si>
    <t xml:space="preserve">Cash flows</t>
  </si>
  <si>
    <t xml:space="preserve">Year 0</t>
  </si>
  <si>
    <t xml:space="preserve">Year 1</t>
  </si>
  <si>
    <t xml:space="preserve">Year 2</t>
  </si>
  <si>
    <t xml:space="preserve">Year 3</t>
  </si>
  <si>
    <t xml:space="preserve">Year 4</t>
  </si>
  <si>
    <t xml:space="preserve">Year 5</t>
  </si>
  <si>
    <t xml:space="preserve">Note</t>
  </si>
  <si>
    <t xml:space="preserve">Realised savings</t>
  </si>
  <si>
    <t xml:space="preserve">credited × realisation × ramp (yr 1) or persistence^(t−1) (yr 2+)</t>
  </si>
  <si>
    <t xml:space="preserve">Programme cost</t>
  </si>
  <si>
    <t xml:space="preserve">setup + intervention engineering in year 0; run cost yrs 1–5; × cost multiplier</t>
  </si>
  <si>
    <t xml:space="preserve">Net cash flow</t>
  </si>
  <si>
    <t xml:space="preserve">Cumulative net cash flow</t>
  </si>
  <si>
    <t xml:space="preserve">Discount factor</t>
  </si>
  <si>
    <t xml:space="preserve">Present value of net</t>
  </si>
  <si>
    <t xml:space="preserve">Results</t>
  </si>
  <si>
    <t xml:space="preserve">Net present value (5 years)</t>
  </si>
  <si>
    <t xml:space="preserve">Present value of savings</t>
  </si>
  <si>
    <t xml:space="preserve">Present value of programme cost</t>
  </si>
  <si>
    <t xml:space="preserve">Return on investment (PV basis)</t>
  </si>
  <si>
    <t xml:space="preserve">Internal rate of return</t>
  </si>
  <si>
    <t xml:space="preserve">Payback (months)</t>
  </si>
  <si>
    <t xml:space="preserve">Year-1 ROI (net year 1 ÷ year-0 outlay + run)</t>
  </si>
  <si>
    <t xml:space="preserve">What the before/after number would have said</t>
  </si>
  <si>
    <t xml:space="preserve">Before/after reported annual savings</t>
  </si>
  <si>
    <t xml:space="preserve">Credited savings (identified, gated)</t>
  </si>
  <si>
    <t xml:space="preserve">Difference the method makes to the headline</t>
  </si>
  <si>
    <t xml:space="preserve">SIMULATED: gross misattribution inside the before/after total</t>
  </si>
  <si>
    <t xml:space="preserve">The aggregate can look close while every individual attribution is wrong: errors in both directions net out. Gross misattribution is the sum of the absolute errors, and it is what a budget owner actually experiences.</t>
  </si>
  <si>
    <t xml:space="preserve">Scenario analysis</t>
  </si>
  <si>
    <t xml:space="preserve">Base, Bull and Bear computed side by side from the driver table on Assumptions. Independent of the active-scenario selector, so all three are always visible.</t>
  </si>
  <si>
    <t xml:space="preserve">Base</t>
  </si>
  <si>
    <t xml:space="preserve">Bull</t>
  </si>
  <si>
    <t xml:space="preserve">Bear</t>
  </si>
  <si>
    <t xml:space="preserve">How it is computed</t>
  </si>
  <si>
    <t xml:space="preserve">Drivers</t>
  </si>
  <si>
    <t xml:space="preserve">Effect realisation</t>
  </si>
  <si>
    <t xml:space="preserve">Programme cost multiplier</t>
  </si>
  <si>
    <t xml:space="preserve">Cloud growth (forecast)</t>
  </si>
  <si>
    <t xml:space="preserve">Savings persistence</t>
  </si>
  <si>
    <t xml:space="preserve">Constants</t>
  </si>
  <si>
    <t xml:space="preserve">Credited annual savings</t>
  </si>
  <si>
    <t xml:space="preserve">Annual run cost (before multiplier)</t>
  </si>
  <si>
    <t xml:space="preserve">Setup (before multiplier)</t>
  </si>
  <si>
    <t xml:space="preserve">Intervention engineering (before multiplier)</t>
  </si>
  <si>
    <t xml:space="preserve">Year-1 realised savings</t>
  </si>
  <si>
    <t xml:space="preserve">credited × realisation × ramp</t>
  </si>
  <si>
    <t xml:space="preserve">PV of savings, 5 years</t>
  </si>
  <si>
    <t xml:space="preserve">credited·real·[ramp/(1+r) + Σ₂₋₅ persist^(t−1)/(1+r)^t]</t>
  </si>
  <si>
    <t xml:space="preserve">PV of programme cost</t>
  </si>
  <si>
    <t xml:space="preserve">(setup + engineering)·mult + Σ run·mult / (1+r)^t</t>
  </si>
  <si>
    <t xml:space="preserve">NPV</t>
  </si>
  <si>
    <t xml:space="preserve">PV savings − PV cost</t>
  </si>
  <si>
    <t xml:space="preserve">ROI (PV basis)</t>
  </si>
  <si>
    <t xml:space="preserve">(PV savings − PV cost) / PV cost</t>
  </si>
  <si>
    <t xml:space="preserve">PV savings / PV cost</t>
  </si>
  <si>
    <t xml:space="preserve">Simple payback (months)</t>
  </si>
  <si>
    <t xml:space="preserve">12 × year-0 outlay / (year-1 savings − run cost), if within year 1</t>
  </si>
  <si>
    <t xml:space="preserve">Bear is not a stress test of the measurement -- the estimator's error is on the Savings Attribution sheet. Bear is a stress test of execution: what if a quarter of measured savings never reach production, hiring runs 30% over, and savings decay faster.</t>
  </si>
  <si>
    <t xml:space="preserve">Sensitivity analysis</t>
  </si>
  <si>
    <t xml:space="preserve">Five-year NPV as two inputs move together, everything else at the active scenario. Each cell is the full NPV formula, so the grid recalculates.</t>
  </si>
  <si>
    <t xml:space="preserve">NPV: effect realisation (rows) × programme cost multiplier (columns)</t>
  </si>
  <si>
    <t xml:space="preserve">realisation ↓ / cost × →</t>
  </si>
  <si>
    <t xml:space="preserve">NPV: discount rate (rows) × savings persistence (columns)</t>
  </si>
  <si>
    <t xml:space="preserve">rate ↓ / persistence →</t>
  </si>
  <si>
    <t xml:space="preserve">Check: grid 1 at (100%, 1.00x) − ROI NPV, Base scenario</t>
  </si>
  <si>
    <t xml:space="preserve">Blue cells are inputs. Everything else in the workbook is a formula that reads them. Change one here and every sheet moves.</t>
  </si>
  <si>
    <t xml:space="preserve">Financial</t>
  </si>
  <si>
    <t xml:space="preserve">Discount rate (cost of capital)</t>
  </si>
  <si>
    <t xml:space="preserve">Applied to programme cash flows. Sensitivity sheet varies it 8%–20%.</t>
  </si>
  <si>
    <t xml:space="preserve">Analysis horizon (years)</t>
  </si>
  <si>
    <t xml:space="preserve">Fixed at 5 in the ROI layout.</t>
  </si>
  <si>
    <t xml:space="preserve">Savings persistence, year over year</t>
  </si>
  <si>
    <t xml:space="preserve">Share of an attributed saving still realised the following year. Optimisations erode: resources get re-provisioned, autoscaling floors drift up.</t>
  </si>
  <si>
    <t xml:space="preserve">FinOps engineers (FTE)</t>
  </si>
  <si>
    <t xml:space="preserve">Who runs the measurement and remediation.</t>
  </si>
  <si>
    <t xml:space="preserve">Loaded annual cost per FTE</t>
  </si>
  <si>
    <t xml:space="preserve">Salary, benefits, overhead. Change to your organisation's rate.</t>
  </si>
  <si>
    <t xml:space="preserve">Tooling and platform, per year</t>
  </si>
  <si>
    <t xml:space="preserve">Billing export, warehouse, watsonx.ai inference, workstation.</t>
  </si>
  <si>
    <t xml:space="preserve">FOCUS export wiring, warehouse build, tagging remediation sprint.</t>
  </si>
  <si>
    <t xml:space="preserve">Engineering hours per intervention</t>
  </si>
  <si>
    <t xml:space="preserve">Executing a rightsizing, a storage migration or a cluster consolidation is engineering time. Counted once per event, in year 0.</t>
  </si>
  <si>
    <t xml:space="preserve">Loaded engineering rate per hour</t>
  </si>
  <si>
    <t xml:space="preserve">Blended senior/mid rate including overhead.</t>
  </si>
  <si>
    <t xml:space="preserve">Year-1 ramp (share of run-rate realised in year 1)</t>
  </si>
  <si>
    <t xml:space="preserve">Interventions land through the year; a linear ramp realises half the annual run-rate in year 1 and the full run-rate from year 2.</t>
  </si>
  <si>
    <t xml:space="preserve">Planning</t>
  </si>
  <si>
    <t xml:space="preserve">Budget growth assumption (annual)</t>
  </si>
  <si>
    <t xml:space="preserve">Budget = run-rate of the first six months, grown monthly at this rate. Illustrates the method; a real plan replaces this row.</t>
  </si>
  <si>
    <t xml:space="preserve">Months defining the run-rate budget</t>
  </si>
  <si>
    <t xml:space="preserve">First N complete months average to the baseline. Fixed at 6 in the layout.</t>
  </si>
  <si>
    <t xml:space="preserve">Attribution policy</t>
  </si>
  <si>
    <t xml:space="preserve">Credit estimates that fail the parallel-trends check?</t>
  </si>
  <si>
    <t xml:space="preserve">No</t>
  </si>
  <si>
    <t xml:space="preserve">No = only estimates whose pre-trend check passed are credited (recommended). Yes = credit every identified estimate.</t>
  </si>
  <si>
    <t xml:space="preserve">Scenario</t>
  </si>
  <si>
    <t xml:space="preserve">Active scenario</t>
  </si>
  <si>
    <t xml:space="preserve">Drives ROI Analysis, Forecast and the KPI Dashboard. Scenario Analysis shows all three side by side regardless.</t>
  </si>
  <si>
    <t xml:space="preserve">Scenario driver</t>
  </si>
  <si>
    <t xml:space="preserve">What it means</t>
  </si>
  <si>
    <t xml:space="preserve">Multiplier on attributed savings. Bear: a quarter of measured savings do not survive contact with production.</t>
  </si>
  <si>
    <t xml:space="preserve">Bear: hiring takes longer and tooling costs more than planned.</t>
  </si>
  <si>
    <t xml:space="preserve">Annual growth applied in the run-rate forecast.</t>
  </si>
  <si>
    <t xml:space="preserve">Overrides the financial assumption above when a scenario is active.</t>
  </si>
  <si>
    <t xml:space="preserve">Active scenario values (formulas)</t>
  </si>
  <si>
    <t xml:space="preserve">KPI dashboard</t>
  </si>
  <si>
    <t xml:space="preserve">Everything here is a formula into the other sheets. Change an assumption and the dashboard changes.</t>
  </si>
  <si>
    <t xml:space="preserve">Annualised cloud run-rate</t>
  </si>
  <si>
    <t xml:space="preserve">last 12 complete months, annualised</t>
  </si>
  <si>
    <t xml:space="preserve">interventions with a usable control group</t>
  </si>
  <si>
    <t xml:space="preserve">estimates credible enough to credit</t>
  </si>
  <si>
    <t xml:space="preserve">identified, gated by parallel trends</t>
  </si>
  <si>
    <t xml:space="preserve">Before/after would report</t>
  </si>
  <si>
    <t xml:space="preserve">Programme NPV (5 yr)</t>
  </si>
  <si>
    <t xml:space="preserve">Payback</t>
  </si>
  <si>
    <t xml:space="preserve">the industry's number</t>
  </si>
  <si>
    <t xml:space="preserve">active scenario</t>
  </si>
  <si>
    <t xml:space="preserve">months</t>
  </si>
  <si>
    <t xml:space="preserve">Budget variance, period</t>
  </si>
  <si>
    <t xml:space="preserve">SIMULATED: gross misattribution</t>
  </si>
  <si>
    <t xml:space="preserve">actual vs run-rate budget</t>
  </si>
  <si>
    <t xml:space="preserve">|before/after − true|, summed</t>
  </si>
  <si>
    <t xml:space="preserve">Chart data (formulas)</t>
  </si>
  <si>
    <t xml:space="preserve">Annual $</t>
  </si>
  <si>
    <t xml:space="preserve">Before/after</t>
  </si>
  <si>
    <t xml:space="preserve">Identified, all</t>
  </si>
  <si>
    <t xml:space="preserve">Credited (gated)</t>
  </si>
  <si>
    <t xml:space="preserve">SIMULATED true</t>
  </si>
  <si>
    <t xml:space="preserve">Budget</t>
  </si>
  <si>
    <t xml:space="preserve">Actual</t>
  </si>
</sst>
</file>

<file path=xl/styles.xml><?xml version="1.0" encoding="utf-8"?>
<styleSheet xmlns="http://schemas.openxmlformats.org/spreadsheetml/2006/main">
  <numFmts count="12">
    <numFmt numFmtId="164" formatCode="General"/>
    <numFmt numFmtId="165" formatCode="#,##0;\(#,##0\);\-"/>
    <numFmt numFmtId="166" formatCode="\$#,##0;&quot;($&quot;#,##0\);\-"/>
    <numFmt numFmtId="167" formatCode="0.00\x"/>
    <numFmt numFmtId="168" formatCode="#,##0.0;\(#,##0.0\);\-"/>
    <numFmt numFmtId="169" formatCode="0.0%;\(0.0%\);\-"/>
    <numFmt numFmtId="170" formatCode="mmm\ yyyy"/>
    <numFmt numFmtId="171" formatCode="yyyy\-mm\-dd"/>
    <numFmt numFmtId="172" formatCode="0.000;\(0.000\);\-"/>
    <numFmt numFmtId="173" formatCode="General"/>
    <numFmt numFmtId="174" formatCode="0.0000"/>
    <numFmt numFmtId="175" formatCode="0%;\(0%\);\-"/>
  </numFmts>
  <fonts count="18">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i val="true"/>
      <sz val="9"/>
      <color rgb="FFC00000"/>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b val="true"/>
      <sz val="10"/>
      <color rgb="FF008000"/>
      <name val="Arial"/>
      <family val="0"/>
      <charset val="1"/>
    </font>
    <font>
      <sz val="10"/>
      <color rgb="FF0000FF"/>
      <name val="Arial"/>
      <family val="0"/>
      <charset val="1"/>
    </font>
    <font>
      <b val="true"/>
      <sz val="18"/>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3864"/>
        <bgColor rgb="FF333333"/>
      </patternFill>
    </fill>
    <fill>
      <patternFill patternType="solid">
        <fgColor rgb="FFFDE9D9"/>
        <bgColor rgb="FFF2F2F2"/>
      </patternFill>
    </fill>
    <fill>
      <patternFill patternType="solid">
        <fgColor rgb="FFF2F2F2"/>
        <bgColor rgb="FFEAF1FB"/>
      </patternFill>
    </fill>
    <fill>
      <patternFill patternType="solid">
        <fgColor rgb="FFC0504D"/>
        <bgColor rgb="FFBE4B48"/>
      </patternFill>
    </fill>
    <fill>
      <patternFill patternType="solid">
        <fgColor rgb="FFFFFF00"/>
        <bgColor rgb="FFFFFF00"/>
      </patternFill>
    </fill>
    <fill>
      <patternFill patternType="solid">
        <fgColor rgb="FFEAF1FB"/>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0" fontId="0" fillId="4"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6" fontId="0" fillId="4" borderId="0" xfId="0" applyFont="false" applyBorder="false" applyAlignment="false" applyProtection="false">
      <alignment horizontal="general" vertical="bottom" textRotation="0" wrapText="false" indent="0" shrinkToFit="false"/>
      <protection locked="true" hidden="false"/>
    </xf>
    <xf numFmtId="166" fontId="11" fillId="0" borderId="2" xfId="0" applyFont="true" applyBorder="tru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1" fontId="0" fillId="4" borderId="0" xfId="0" applyFont="false" applyBorder="false" applyAlignment="false" applyProtection="false">
      <alignment horizontal="general" vertical="bottom" textRotation="0" wrapText="false" indent="0" shrinkToFit="false"/>
      <protection locked="true" hidden="false"/>
    </xf>
    <xf numFmtId="172" fontId="0" fillId="4" borderId="0" xfId="0" applyFont="fals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2" fontId="0" fillId="3" borderId="0" xfId="0" applyFont="fals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9" fontId="0" fillId="4" borderId="0" xfId="0" applyFont="false" applyBorder="false" applyAlignment="false" applyProtection="false">
      <alignment horizontal="general" vertical="bottom" textRotation="0" wrapText="false" indent="0" shrinkToFit="false"/>
      <protection locked="true" hidden="false"/>
    </xf>
    <xf numFmtId="173" fontId="0" fillId="4" borderId="0" xfId="0" applyFont="false" applyBorder="false" applyAlignment="false" applyProtection="false">
      <alignment horizontal="general" vertical="bottom" textRotation="0" wrapText="false" indent="0" shrinkToFit="false"/>
      <protection locked="true" hidden="false"/>
    </xf>
    <xf numFmtId="173" fontId="11" fillId="0" borderId="2"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11" fillId="6"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11" fillId="0" borderId="2" xfId="0" applyFont="true" applyBorder="tru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5" fontId="11" fillId="6"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8" fontId="11" fillId="6"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5"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5"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9" fontId="13" fillId="6"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8" fontId="13" fillId="6" borderId="0" xfId="0" applyFont="true" applyBorder="false" applyAlignment="false" applyProtection="false">
      <alignment horizontal="general" vertical="bottom" textRotation="0" wrapText="false" indent="0" shrinkToFit="false"/>
      <protection locked="true" hidden="false"/>
    </xf>
    <xf numFmtId="175" fontId="13" fillId="6"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6" fontId="14" fillId="7" borderId="0" xfId="0" applyFont="true" applyBorder="false" applyAlignment="false" applyProtection="false">
      <alignment horizontal="general" vertical="bottom" textRotation="0" wrapText="false" indent="0" shrinkToFit="false"/>
      <protection locked="true" hidden="false"/>
    </xf>
    <xf numFmtId="165" fontId="14" fillId="7" borderId="0" xfId="0" applyFont="true" applyBorder="false" applyAlignment="false" applyProtection="false">
      <alignment horizontal="general" vertical="bottom" textRotation="0" wrapText="false" indent="0" shrinkToFit="false"/>
      <protection locked="true" hidden="false"/>
    </xf>
    <xf numFmtId="175" fontId="14" fillId="7" borderId="0" xfId="0" applyFont="true" applyBorder="fals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9" fontId="14" fillId="7" borderId="0" xfId="0" applyFont="true" applyBorder="false" applyAlignment="false" applyProtection="false">
      <alignment horizontal="general" vertical="bottom" textRotation="0" wrapText="false" indent="0" shrinkToFit="false"/>
      <protection locked="true" hidden="false"/>
    </xf>
    <xf numFmtId="166" fontId="14" fillId="3"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DE9D9"/>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8CBAD"/>
      <rgbColor rgb="FF4A7EBB"/>
      <rgbColor rgb="FF33CCCC"/>
      <rgbColor rgb="FF99CC00"/>
      <rgbColor rgb="FFFFCC00"/>
      <rgbColor rgb="FFFF9900"/>
      <rgbColor rgb="FFFF6600"/>
      <rgbColor rgb="FF595959"/>
      <rgbColor rgb="FF969696"/>
      <rgbColor rgb="FF1F3864"/>
      <rgbColor rgb="FF4F81BD"/>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savings: three ways of counting</a:t>
            </a:r>
          </a:p>
        </c:rich>
      </c:tx>
      <c:overlay val="0"/>
      <c:spPr>
        <a:noFill/>
        <a:ln w="0">
          <a:noFill/>
        </a:ln>
      </c:spPr>
    </c:title>
    <c:autoTitleDeleted val="0"/>
    <c:plotArea>
      <c:barChart>
        <c:barDir val="col"/>
        <c:grouping val="clustered"/>
        <c:varyColors val="0"/>
        <c:ser>
          <c:idx val="0"/>
          <c:order val="0"/>
          <c:tx>
            <c:strRef>
              <c:f>'11 KPI Dashboard'!B19</c:f>
              <c:strCache>
                <c:ptCount val="1"/>
                <c:pt idx="0">
                  <c:v>Annual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 KPI Dashboard'!$A$20:$A$23</c:f>
              <c:strCache>
                <c:ptCount val="4"/>
                <c:pt idx="0">
                  <c:v>Before/after</c:v>
                </c:pt>
                <c:pt idx="1">
                  <c:v>Identified, all</c:v>
                </c:pt>
                <c:pt idx="2">
                  <c:v>Credited (gated)</c:v>
                </c:pt>
                <c:pt idx="3">
                  <c:v>SIMULATED true</c:v>
                </c:pt>
              </c:strCache>
            </c:strRef>
          </c:cat>
          <c:val>
            <c:numRef>
              <c:f>'11 KPI Dashboard'!$B$20:$B$23</c:f>
              <c:numCache>
                <c:formatCode>\$#,##0;"($"#,##0\);\-</c:formatCode>
                <c:ptCount val="4"/>
                <c:pt idx="0">
                  <c:v>1693741.00166715</c:v>
                </c:pt>
                <c:pt idx="1">
                  <c:v>1809486.902302</c:v>
                </c:pt>
                <c:pt idx="2">
                  <c:v>1872634.04129571</c:v>
                </c:pt>
                <c:pt idx="3">
                  <c:v>2020441.12594542</c:v>
                </c:pt>
              </c:numCache>
            </c:numRef>
          </c:val>
        </c:ser>
        <c:gapWidth val="150"/>
        <c:overlap val="0"/>
        <c:axId val="13237815"/>
        <c:axId val="79217792"/>
      </c:barChart>
      <c:catAx>
        <c:axId val="132378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217792"/>
        <c:crosses val="autoZero"/>
        <c:auto val="1"/>
        <c:lblAlgn val="ctr"/>
        <c:lblOffset val="100"/>
        <c:noMultiLvlLbl val="0"/>
      </c:catAx>
      <c:valAx>
        <c:axId val="79217792"/>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year</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2378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spend: budget vs actual</a:t>
            </a:r>
          </a:p>
        </c:rich>
      </c:tx>
      <c:overlay val="0"/>
      <c:spPr>
        <a:noFill/>
        <a:ln w="0">
          <a:noFill/>
        </a:ln>
      </c:spPr>
    </c:title>
    <c:autoTitleDeleted val="0"/>
    <c:plotArea>
      <c:lineChart>
        <c:grouping val="standard"/>
        <c:varyColors val="0"/>
        <c:ser>
          <c:idx val="0"/>
          <c:order val="0"/>
          <c:tx>
            <c:strRef>
              <c:f>'11 KPI Dashboard'!B26</c:f>
              <c:strCache>
                <c:ptCount val="1"/>
                <c:pt idx="0">
                  <c:v>Budget</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 KPI Dashboard'!$A$27:$A$37</c:f>
              <c:strCache>
                <c:ptCount val="11"/>
                <c:pt idx="0">
                  <c:v>Jul 2025</c:v>
                </c:pt>
                <c:pt idx="1">
                  <c:v>Aug 2025</c:v>
                </c:pt>
                <c:pt idx="2">
                  <c:v>Sep 2025</c:v>
                </c:pt>
                <c:pt idx="3">
                  <c:v>Oct 2025</c:v>
                </c:pt>
                <c:pt idx="4">
                  <c:v>Nov 2025</c:v>
                </c:pt>
                <c:pt idx="5">
                  <c:v>Dec 2025</c:v>
                </c:pt>
                <c:pt idx="6">
                  <c:v>Jan 2026</c:v>
                </c:pt>
                <c:pt idx="7">
                  <c:v>Feb 2026</c:v>
                </c:pt>
                <c:pt idx="8">
                  <c:v>Mar 2026</c:v>
                </c:pt>
                <c:pt idx="9">
                  <c:v>Apr 2026</c:v>
                </c:pt>
                <c:pt idx="10">
                  <c:v>May 2026</c:v>
                </c:pt>
              </c:strCache>
            </c:strRef>
          </c:cat>
          <c:val>
            <c:numRef>
              <c:f>'11 KPI Dashboard'!$B$27:$B$37</c:f>
              <c:numCache>
                <c:formatCode>\$#,##0;"($"#,##0\);\-</c:formatCode>
                <c:ptCount val="11"/>
                <c:pt idx="0">
                  <c:v>697239.814450194</c:v>
                </c:pt>
                <c:pt idx="1">
                  <c:v>705407.920949692</c:v>
                </c:pt>
                <c:pt idx="2">
                  <c:v>713671.716138224</c:v>
                </c:pt>
                <c:pt idx="3">
                  <c:v>722032.321000833</c:v>
                </c:pt>
                <c:pt idx="4">
                  <c:v>730490.869654806</c:v>
                </c:pt>
                <c:pt idx="5">
                  <c:v>739048.509503524</c:v>
                </c:pt>
                <c:pt idx="6">
                  <c:v>747706.401392099</c:v>
                </c:pt>
                <c:pt idx="7">
                  <c:v>756465.71976485</c:v>
                </c:pt>
                <c:pt idx="8">
                  <c:v>765327.652824612</c:v>
                </c:pt>
                <c:pt idx="9">
                  <c:v>774293.402693919</c:v>
                </c:pt>
                <c:pt idx="10">
                  <c:v>783364.185578069</c:v>
                </c:pt>
              </c:numCache>
            </c:numRef>
          </c:val>
          <c:smooth val="1"/>
        </c:ser>
        <c:ser>
          <c:idx val="1"/>
          <c:order val="1"/>
          <c:tx>
            <c:strRef>
              <c:f>'11 KPI Dashboard'!C26</c:f>
              <c:strCache>
                <c:ptCount val="1"/>
                <c:pt idx="0">
                  <c:v>Actual</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 KPI Dashboard'!$A$27:$A$37</c:f>
              <c:strCache>
                <c:ptCount val="11"/>
                <c:pt idx="0">
                  <c:v>Jul 2025</c:v>
                </c:pt>
                <c:pt idx="1">
                  <c:v>Aug 2025</c:v>
                </c:pt>
                <c:pt idx="2">
                  <c:v>Sep 2025</c:v>
                </c:pt>
                <c:pt idx="3">
                  <c:v>Oct 2025</c:v>
                </c:pt>
                <c:pt idx="4">
                  <c:v>Nov 2025</c:v>
                </c:pt>
                <c:pt idx="5">
                  <c:v>Dec 2025</c:v>
                </c:pt>
                <c:pt idx="6">
                  <c:v>Jan 2026</c:v>
                </c:pt>
                <c:pt idx="7">
                  <c:v>Feb 2026</c:v>
                </c:pt>
                <c:pt idx="8">
                  <c:v>Mar 2026</c:v>
                </c:pt>
                <c:pt idx="9">
                  <c:v>Apr 2026</c:v>
                </c:pt>
                <c:pt idx="10">
                  <c:v>May 2026</c:v>
                </c:pt>
              </c:strCache>
            </c:strRef>
          </c:cat>
          <c:val>
            <c:numRef>
              <c:f>'11 KPI Dashboard'!$C$27:$C$37</c:f>
              <c:numCache>
                <c:formatCode>\$#,##0;"($"#,##0\);\-</c:formatCode>
                <c:ptCount val="11"/>
                <c:pt idx="0">
                  <c:v>723189.724863252</c:v>
                </c:pt>
                <c:pt idx="1">
                  <c:v>720339.020747283</c:v>
                </c:pt>
                <c:pt idx="2">
                  <c:v>726305.011220169</c:v>
                </c:pt>
                <c:pt idx="3">
                  <c:v>791709.564171059</c:v>
                </c:pt>
                <c:pt idx="4">
                  <c:v>801718.114206562</c:v>
                </c:pt>
                <c:pt idx="5">
                  <c:v>856377.911923435</c:v>
                </c:pt>
                <c:pt idx="6">
                  <c:v>804605.050189927</c:v>
                </c:pt>
                <c:pt idx="7">
                  <c:v>708434.429193675</c:v>
                </c:pt>
                <c:pt idx="8">
                  <c:v>870094.214371393</c:v>
                </c:pt>
                <c:pt idx="9">
                  <c:v>880808.739049616</c:v>
                </c:pt>
                <c:pt idx="10">
                  <c:v>837020.011201586</c:v>
                </c:pt>
              </c:numCache>
            </c:numRef>
          </c:val>
          <c:smooth val="1"/>
        </c:ser>
        <c:hiLowLines>
          <c:spPr>
            <a:ln w="0">
              <a:noFill/>
            </a:ln>
          </c:spPr>
        </c:hiLowLines>
        <c:marker val="0"/>
        <c:axId val="22510276"/>
        <c:axId val="71070603"/>
      </c:lineChart>
      <c:catAx>
        <c:axId val="22510276"/>
        <c:scaling>
          <c:orientation val="minMax"/>
        </c:scaling>
        <c:delete val="0"/>
        <c:axPos val="b"/>
        <c:numFmt formatCode="mmm\ 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070603"/>
        <c:crosses val="autoZero"/>
        <c:auto val="1"/>
        <c:lblAlgn val="ctr"/>
        <c:lblOffset val="100"/>
        <c:noMultiLvlLbl val="0"/>
      </c:catAx>
      <c:valAx>
        <c:axId val="71070603"/>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month</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5102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Budget vs actual by business unit (period total)</a:t>
            </a:r>
          </a:p>
        </c:rich>
      </c:tx>
      <c:overlay val="0"/>
      <c:spPr>
        <a:noFill/>
        <a:ln w="0">
          <a:noFill/>
        </a:ln>
      </c:spPr>
    </c:title>
    <c:autoTitleDeleted val="0"/>
    <c:plotArea>
      <c:barChart>
        <c:barDir val="col"/>
        <c:grouping val="clustered"/>
        <c:varyColors val="0"/>
        <c:ser>
          <c:idx val="0"/>
          <c:order val="0"/>
          <c:tx>
            <c:strRef>
              <c:f>'11 KPI Dashboard'!B40</c:f>
              <c:strCache>
                <c:ptCount val="1"/>
                <c:pt idx="0">
                  <c:v>Budget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 KPI Dashboard'!$A$41:$A$47</c:f>
              <c:strCache>
                <c:ptCount val="7"/>
                <c:pt idx="0">
                  <c:v>bu-assist</c:v>
                </c:pt>
                <c:pt idx="1">
                  <c:v>bu-checkout</c:v>
                </c:pt>
                <c:pt idx="2">
                  <c:v>bu-datalake</c:v>
                </c:pt>
                <c:pt idx="3">
                  <c:v>bu-datasci</c:v>
                </c:pt>
                <c:pt idx="4">
                  <c:v>bu-platform</c:v>
                </c:pt>
                <c:pt idx="5">
                  <c:v>bu-search</c:v>
                </c:pt>
                <c:pt idx="6">
                  <c:v>unallocated</c:v>
                </c:pt>
              </c:strCache>
            </c:strRef>
          </c:cat>
          <c:val>
            <c:numRef>
              <c:f>'11 KPI Dashboard'!$B$41:$B$47</c:f>
              <c:numCache>
                <c:formatCode>\$#,##0;"($"#,##0\);\-</c:formatCode>
                <c:ptCount val="7"/>
                <c:pt idx="0">
                  <c:v>1855728.94402225</c:v>
                </c:pt>
                <c:pt idx="1">
                  <c:v>1017822.74676823</c:v>
                </c:pt>
                <c:pt idx="2">
                  <c:v>754985.316077392</c:v>
                </c:pt>
                <c:pt idx="3">
                  <c:v>1773020.68520012</c:v>
                </c:pt>
                <c:pt idx="4">
                  <c:v>838909.699798109</c:v>
                </c:pt>
                <c:pt idx="5">
                  <c:v>1018337.7031103</c:v>
                </c:pt>
                <c:pt idx="6">
                  <c:v>876243.418974416</c:v>
                </c:pt>
              </c:numCache>
            </c:numRef>
          </c:val>
        </c:ser>
        <c:ser>
          <c:idx val="1"/>
          <c:order val="1"/>
          <c:tx>
            <c:strRef>
              <c:f>'11 KPI Dashboard'!C40</c:f>
              <c:strCache>
                <c:ptCount val="1"/>
                <c:pt idx="0">
                  <c:v>Actual</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'11 KPI Dashboard'!$A$41:$A$47</c:f>
              <c:strCache>
                <c:ptCount val="7"/>
                <c:pt idx="0">
                  <c:v>bu-assist</c:v>
                </c:pt>
                <c:pt idx="1">
                  <c:v>bu-checkout</c:v>
                </c:pt>
                <c:pt idx="2">
                  <c:v>bu-datalake</c:v>
                </c:pt>
                <c:pt idx="3">
                  <c:v>bu-datasci</c:v>
                </c:pt>
                <c:pt idx="4">
                  <c:v>bu-platform</c:v>
                </c:pt>
                <c:pt idx="5">
                  <c:v>bu-search</c:v>
                </c:pt>
                <c:pt idx="6">
                  <c:v>unallocated</c:v>
                </c:pt>
              </c:strCache>
            </c:strRef>
          </c:cat>
          <c:val>
            <c:numRef>
              <c:f>'11 KPI Dashboard'!$C$41:$C$47</c:f>
              <c:numCache>
                <c:formatCode>\$#,##0;"($"#,##0\);\-</c:formatCode>
                <c:ptCount val="7"/>
                <c:pt idx="0">
                  <c:v>2013844.91645715</c:v>
                </c:pt>
                <c:pt idx="1">
                  <c:v>1165464.95690797</c:v>
                </c:pt>
                <c:pt idx="2">
                  <c:v>750185.806886215</c:v>
                </c:pt>
                <c:pt idx="3">
                  <c:v>1914114.74006887</c:v>
                </c:pt>
                <c:pt idx="4">
                  <c:v>841976.394844778</c:v>
                </c:pt>
                <c:pt idx="5">
                  <c:v>1113179.52950031</c:v>
                </c:pt>
                <c:pt idx="6">
                  <c:v>921835.446472669</c:v>
                </c:pt>
              </c:numCache>
            </c:numRef>
          </c:val>
        </c:ser>
        <c:gapWidth val="150"/>
        <c:overlap val="0"/>
        <c:axId val="92145432"/>
        <c:axId val="36917474"/>
      </c:barChart>
      <c:catAx>
        <c:axId val="921454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917474"/>
        <c:crosses val="autoZero"/>
        <c:auto val="1"/>
        <c:lblAlgn val="ctr"/>
        <c:lblOffset val="100"/>
        <c:noMultiLvlLbl val="0"/>
      </c:catAx>
      <c:valAx>
        <c:axId val="36917474"/>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14543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16</xdr:row>
      <xdr:rowOff>52560</xdr:rowOff>
    </xdr:from>
    <xdr:to>
      <xdr:col>6</xdr:col>
      <xdr:colOff>810720</xdr:colOff>
      <xdr:row>30</xdr:row>
      <xdr:rowOff>85320</xdr:rowOff>
    </xdr:to>
    <xdr:graphicFrame>
      <xdr:nvGraphicFramePr>
        <xdr:cNvPr id="0" name="Chart 1"/>
        <xdr:cNvGraphicFramePr/>
      </xdr:nvGraphicFramePr>
      <xdr:xfrm>
        <a:off x="4229280" y="342900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23</xdr:row>
      <xdr:rowOff>52560</xdr:rowOff>
    </xdr:from>
    <xdr:to>
      <xdr:col>6</xdr:col>
      <xdr:colOff>810720</xdr:colOff>
      <xdr:row>37</xdr:row>
      <xdr:rowOff>85320</xdr:rowOff>
    </xdr:to>
    <xdr:graphicFrame>
      <xdr:nvGraphicFramePr>
        <xdr:cNvPr id="1" name="Chart 2"/>
        <xdr:cNvGraphicFramePr/>
      </xdr:nvGraphicFramePr>
      <xdr:xfrm>
        <a:off x="4229280" y="4762440"/>
        <a:ext cx="503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37</xdr:row>
      <xdr:rowOff>52920</xdr:rowOff>
    </xdr:from>
    <xdr:to>
      <xdr:col>6</xdr:col>
      <xdr:colOff>810720</xdr:colOff>
      <xdr:row>51</xdr:row>
      <xdr:rowOff>85680</xdr:rowOff>
    </xdr:to>
    <xdr:graphicFrame>
      <xdr:nvGraphicFramePr>
        <xdr:cNvPr id="2" name="Chart 3"/>
        <xdr:cNvGraphicFramePr/>
      </xdr:nvGraphicFramePr>
      <xdr:xfrm>
        <a:off x="4229280" y="7429680"/>
        <a:ext cx="503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8"/>
    <col collapsed="false" customWidth="true" hidden="false" outlineLevel="0" max="3" min="3" style="0" width="6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row>
    <row r="6" customFormat="false" ht="15" hidden="false" customHeight="false" outlineLevel="0" collapsed="false">
      <c r="A6" s="5" t="s">
        <v>4</v>
      </c>
    </row>
    <row r="7" customFormat="false" ht="15" hidden="false" customHeight="false" outlineLevel="0" collapsed="false">
      <c r="A7" s="5" t="s">
        <v>5</v>
      </c>
    </row>
    <row r="8" customFormat="false" ht="15" hidden="false" customHeight="false" outlineLevel="0" collapsed="false">
      <c r="A8" s="5" t="s">
        <v>6</v>
      </c>
    </row>
    <row r="9" customFormat="false" ht="15" hidden="false" customHeight="false" outlineLevel="0" collapsed="false">
      <c r="A9" s="5" t="s">
        <v>7</v>
      </c>
    </row>
    <row r="11" customFormat="false" ht="15" hidden="false" customHeight="false" outlineLevel="0" collapsed="false">
      <c r="A11" s="4" t="s">
        <v>8</v>
      </c>
    </row>
    <row r="12" customFormat="false" ht="15" hidden="false" customHeight="false" outlineLevel="0" collapsed="false">
      <c r="A12" s="5" t="s">
        <v>9</v>
      </c>
    </row>
    <row r="13" customFormat="false" ht="15" hidden="false" customHeight="false" outlineLevel="0" collapsed="false">
      <c r="A13" s="5" t="s">
        <v>10</v>
      </c>
    </row>
    <row r="14" customFormat="false" ht="15" hidden="false" customHeight="false" outlineLevel="0" collapsed="false">
      <c r="A14" s="5" t="s">
        <v>11</v>
      </c>
    </row>
    <row r="15" customFormat="false" ht="15" hidden="false" customHeight="false" outlineLevel="0" collapsed="false">
      <c r="A15" s="5" t="s">
        <v>12</v>
      </c>
    </row>
    <row r="16" customFormat="false" ht="15" hidden="false" customHeight="false" outlineLevel="0" collapsed="false">
      <c r="A16" s="5" t="s">
        <v>13</v>
      </c>
    </row>
    <row r="17" customFormat="false" ht="15" hidden="false" customHeight="false" outlineLevel="0" collapsed="false">
      <c r="A17" s="5" t="s">
        <v>14</v>
      </c>
    </row>
    <row r="19" customFormat="false" ht="15" hidden="false" customHeight="false" outlineLevel="0" collapsed="false">
      <c r="A19" s="4" t="s">
        <v>15</v>
      </c>
    </row>
    <row r="20" customFormat="false" ht="30" hidden="false" customHeight="true" outlineLevel="0" collapsed="false">
      <c r="A20" s="6" t="s">
        <v>16</v>
      </c>
      <c r="B20" s="6" t="s">
        <v>17</v>
      </c>
      <c r="C20" s="6" t="s">
        <v>18</v>
      </c>
    </row>
    <row r="21" customFormat="false" ht="15" hidden="false" customHeight="false" outlineLevel="0" collapsed="false">
      <c r="A21" s="5" t="s">
        <v>19</v>
      </c>
      <c r="B21" s="7" t="n">
        <f aca="false">'04 Savings Attribution'!$D$127</f>
        <v>117</v>
      </c>
      <c r="C21" s="2" t="s">
        <v>20</v>
      </c>
    </row>
    <row r="22" customFormat="false" ht="15" hidden="false" customHeight="false" outlineLevel="0" collapsed="false">
      <c r="A22" s="5" t="s">
        <v>21</v>
      </c>
      <c r="B22" s="7" t="n">
        <f aca="false">'04 Savings Attribution'!$D$128</f>
        <v>103</v>
      </c>
      <c r="C22" s="2" t="s">
        <v>20</v>
      </c>
    </row>
    <row r="23" customFormat="false" ht="15" hidden="false" customHeight="false" outlineLevel="0" collapsed="false">
      <c r="A23" s="5" t="s">
        <v>22</v>
      </c>
      <c r="B23" s="8" t="n">
        <f aca="false">'04 Savings Attribution'!$D$131</f>
        <v>1693741.00166715</v>
      </c>
      <c r="C23" s="2" t="s">
        <v>23</v>
      </c>
    </row>
    <row r="24" customFormat="false" ht="15" hidden="false" customHeight="false" outlineLevel="0" collapsed="false">
      <c r="A24" s="9" t="s">
        <v>24</v>
      </c>
      <c r="B24" s="10" t="n">
        <f aca="false">'04 Savings Attribution'!$D$133</f>
        <v>1872634.04129571</v>
      </c>
      <c r="C24" s="2" t="s">
        <v>25</v>
      </c>
    </row>
    <row r="25" customFormat="false" ht="15" hidden="false" customHeight="false" outlineLevel="0" collapsed="false">
      <c r="A25" s="5" t="s">
        <v>26</v>
      </c>
      <c r="B25" s="8" t="n">
        <f aca="false">'07 ROI Analysis'!$B$38</f>
        <v>178893.039628559</v>
      </c>
      <c r="C25" s="2" t="s">
        <v>27</v>
      </c>
    </row>
    <row r="26" customFormat="false" ht="15" hidden="false" customHeight="false" outlineLevel="0" collapsed="false">
      <c r="A26" s="9" t="s">
        <v>28</v>
      </c>
      <c r="B26" s="10" t="n">
        <f aca="false">'07 ROI Analysis'!$B$26</f>
        <v>2833109.43028828</v>
      </c>
      <c r="C26" s="2" t="s">
        <v>27</v>
      </c>
    </row>
    <row r="27" customFormat="false" ht="15" hidden="false" customHeight="false" outlineLevel="0" collapsed="false">
      <c r="A27" s="5" t="s">
        <v>29</v>
      </c>
      <c r="B27" s="11" t="n">
        <f aca="false">'07 ROI Analysis'!$B$29</f>
        <v>2.86342665024045</v>
      </c>
      <c r="C27" s="2" t="s">
        <v>27</v>
      </c>
    </row>
    <row r="28" customFormat="false" ht="15" hidden="false" customHeight="false" outlineLevel="0" collapsed="false">
      <c r="A28" s="5" t="s">
        <v>30</v>
      </c>
      <c r="B28" s="12" t="n">
        <f aca="false">'07 ROI Analysis'!$B$32</f>
        <v>6.54707003896815</v>
      </c>
      <c r="C28" s="2" t="s">
        <v>27</v>
      </c>
    </row>
    <row r="29" customFormat="false" ht="15" hidden="false" customHeight="false" outlineLevel="0" collapsed="false">
      <c r="A29" s="5" t="s">
        <v>31</v>
      </c>
      <c r="B29" s="13" t="n">
        <f aca="false">'05 Budget vs Actual'!$Z$18</f>
        <v>0.0719790762382018</v>
      </c>
      <c r="C29" s="2" t="s">
        <v>32</v>
      </c>
    </row>
    <row r="30" customFormat="false" ht="15" hidden="false" customHeight="false" outlineLevel="0" collapsed="false">
      <c r="A30" s="5" t="s">
        <v>33</v>
      </c>
      <c r="B30" s="14" t="n">
        <f aca="false">'04 Savings Attribution'!$D$135</f>
        <v>450967.844452654</v>
      </c>
      <c r="C30" s="2" t="s">
        <v>34</v>
      </c>
    </row>
    <row r="31" customFormat="false" ht="15" hidden="false" customHeight="false" outlineLevel="0" collapsed="false">
      <c r="A31" s="5" t="s">
        <v>35</v>
      </c>
      <c r="B31" s="15" t="str">
        <f aca="false">'10 Assumptions'!$B$27&amp;" / "&amp;IF('10 Assumptions'!$B$24="Yes","all","PT gate")</f>
        <v>Base / PT gate</v>
      </c>
      <c r="C31" s="2" t="s">
        <v>36</v>
      </c>
    </row>
    <row r="33" customFormat="false" ht="15" hidden="false" customHeight="false" outlineLevel="0" collapsed="false">
      <c r="A33" s="4" t="s">
        <v>37</v>
      </c>
    </row>
    <row r="34" customFormat="false" ht="15" hidden="false" customHeight="false" outlineLevel="0" collapsed="false">
      <c r="A34" s="5" t="s">
        <v>38</v>
      </c>
    </row>
    <row r="35" customFormat="false" ht="15" hidden="false" customHeight="false" outlineLevel="0" collapsed="false">
      <c r="A35" s="5" t="s">
        <v>39</v>
      </c>
    </row>
    <row r="36" customFormat="false" ht="15" hidden="false" customHeight="false" outlineLevel="0" collapsed="false">
      <c r="A36" s="5" t="s">
        <v>40</v>
      </c>
    </row>
    <row r="37" customFormat="false" ht="15" hidden="false" customHeight="false" outlineLevel="0" collapsed="false">
      <c r="A37" s="5" t="s">
        <v>41</v>
      </c>
    </row>
    <row r="38" customFormat="false" ht="15" hidden="false" customHeight="false" outlineLevel="0" collapsed="false">
      <c r="A38" s="5" t="s">
        <v>42</v>
      </c>
    </row>
    <row r="39" customFormat="false" ht="15" hidden="false" customHeight="false" outlineLevel="0" collapsed="false">
      <c r="A39" s="5" t="s">
        <v>43</v>
      </c>
    </row>
    <row r="41" customFormat="false" ht="15" hidden="false" customHeight="false" outlineLevel="0" collapsed="false">
      <c r="A41" s="4" t="s">
        <v>44</v>
      </c>
    </row>
    <row r="42" customFormat="false" ht="15" hidden="false" customHeight="false" outlineLevel="0" collapsed="false">
      <c r="A42" s="9" t="s">
        <v>45</v>
      </c>
      <c r="C42" s="2" t="s">
        <v>46</v>
      </c>
    </row>
    <row r="43" customFormat="false" ht="15" hidden="false" customHeight="false" outlineLevel="0" collapsed="false">
      <c r="A43" s="9" t="s">
        <v>47</v>
      </c>
      <c r="C43" s="2" t="s">
        <v>48</v>
      </c>
    </row>
    <row r="44" customFormat="false" ht="15" hidden="false" customHeight="false" outlineLevel="0" collapsed="false">
      <c r="A44" s="9" t="s">
        <v>49</v>
      </c>
      <c r="C44" s="2" t="s">
        <v>50</v>
      </c>
    </row>
    <row r="45" customFormat="false" ht="15" hidden="false" customHeight="false" outlineLevel="0" collapsed="false">
      <c r="A45" s="9" t="s">
        <v>51</v>
      </c>
      <c r="C45" s="2" t="s">
        <v>52</v>
      </c>
    </row>
    <row r="46" customFormat="false" ht="15" hidden="false" customHeight="false" outlineLevel="0" collapsed="false">
      <c r="A46" s="9" t="s">
        <v>53</v>
      </c>
      <c r="C46" s="2" t="s">
        <v>54</v>
      </c>
    </row>
    <row r="47" customFormat="false" ht="15" hidden="false" customHeight="false" outlineLevel="0" collapsed="false">
      <c r="A47" s="9" t="s">
        <v>55</v>
      </c>
      <c r="C47" s="2" t="s">
        <v>56</v>
      </c>
    </row>
    <row r="48" customFormat="false" ht="15" hidden="false" customHeight="false" outlineLevel="0" collapsed="false">
      <c r="A48" s="9" t="s">
        <v>57</v>
      </c>
      <c r="C48" s="2" t="s">
        <v>58</v>
      </c>
    </row>
    <row r="49" customFormat="false" ht="15" hidden="false" customHeight="false" outlineLevel="0" collapsed="false">
      <c r="A49" s="9" t="s">
        <v>59</v>
      </c>
      <c r="C49" s="2" t="s">
        <v>60</v>
      </c>
    </row>
    <row r="50" customFormat="false" ht="15" hidden="false" customHeight="false" outlineLevel="0" collapsed="false">
      <c r="A50" s="9" t="s">
        <v>61</v>
      </c>
      <c r="C50" s="2" t="s">
        <v>62</v>
      </c>
    </row>
    <row r="51" customFormat="false" ht="15" hidden="false" customHeight="false" outlineLevel="0" collapsed="false">
      <c r="A51" s="9" t="s">
        <v>63</v>
      </c>
      <c r="C51" s="2" t="s">
        <v>64</v>
      </c>
    </row>
    <row r="53" customFormat="false" ht="15" hidden="false" customHeight="false" outlineLevel="0" collapsed="false">
      <c r="A53" s="2"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5" min="3" style="0" width="15"/>
    <col collapsed="false" customWidth="true" hidden="false" outlineLevel="0" max="6" min="6" style="0" width="3"/>
    <col collapsed="false" customWidth="true" hidden="false" outlineLevel="0" max="7" min="7" style="0" width="12"/>
    <col collapsed="false" customWidth="true" hidden="false" outlineLevel="0" max="8" min="8" style="0" width="5"/>
    <col collapsed="false" customWidth="true" hidden="false" outlineLevel="0" max="16" min="9" style="0" width="14"/>
  </cols>
  <sheetData>
    <row r="1" customFormat="false" ht="19.7" hidden="false" customHeight="false" outlineLevel="0" collapsed="false">
      <c r="A1" s="1" t="s">
        <v>66</v>
      </c>
    </row>
    <row r="2" customFormat="false" ht="15" hidden="false" customHeight="false" outlineLevel="0" collapsed="false">
      <c r="A2" s="2" t="s">
        <v>67</v>
      </c>
    </row>
    <row r="3" customFormat="false" ht="15" hidden="false" customHeight="false" outlineLevel="0" collapsed="false">
      <c r="A3" s="3" t="s">
        <v>2</v>
      </c>
    </row>
    <row r="4" customFormat="false" ht="15" hidden="false" customHeight="false" outlineLevel="0" collapsed="false">
      <c r="G4" s="4" t="s">
        <v>68</v>
      </c>
    </row>
    <row r="5" customFormat="false" ht="30" hidden="false" customHeight="true" outlineLevel="0" collapsed="false">
      <c r="A5" s="6" t="s">
        <v>69</v>
      </c>
      <c r="B5" s="6" t="s">
        <v>70</v>
      </c>
      <c r="C5" s="6" t="s">
        <v>71</v>
      </c>
      <c r="D5" s="6" t="s">
        <v>72</v>
      </c>
      <c r="E5" s="6" t="s">
        <v>73</v>
      </c>
      <c r="G5" s="6" t="s">
        <v>69</v>
      </c>
      <c r="H5" s="6" t="s">
        <v>74</v>
      </c>
      <c r="I5" s="6" t="s">
        <v>75</v>
      </c>
      <c r="J5" s="6" t="s">
        <v>76</v>
      </c>
      <c r="K5" s="6" t="s">
        <v>77</v>
      </c>
      <c r="L5" s="6" t="s">
        <v>78</v>
      </c>
      <c r="M5" s="6" t="s">
        <v>79</v>
      </c>
      <c r="N5" s="6" t="s">
        <v>80</v>
      </c>
      <c r="O5" s="6" t="s">
        <v>81</v>
      </c>
      <c r="P5" s="6" t="s">
        <v>82</v>
      </c>
    </row>
    <row r="6" customFormat="false" ht="15" hidden="false" customHeight="false" outlineLevel="0" collapsed="false">
      <c r="A6" s="16" t="n">
        <v>45658</v>
      </c>
      <c r="B6" s="17" t="s">
        <v>75</v>
      </c>
      <c r="C6" s="18" t="n">
        <v>141869.6297605</v>
      </c>
      <c r="D6" s="18" t="n">
        <v>116240.391658641</v>
      </c>
      <c r="E6" s="18" t="n">
        <v>158448.042266223</v>
      </c>
      <c r="G6" s="16" t="n">
        <v>45658</v>
      </c>
      <c r="H6" s="2" t="n">
        <v>1</v>
      </c>
      <c r="I6" s="18" t="n">
        <f aca="false">SUMIFS($C$6:$C$124,$A$6:$A$124,$G6,$B$6:$B$124,I$5)</f>
        <v>141869.6297605</v>
      </c>
      <c r="J6" s="18" t="n">
        <f aca="false">SUMIFS($C$6:$C$124,$A$6:$A$124,$G6,$B$6:$B$124,J$5)</f>
        <v>77461.6390261659</v>
      </c>
      <c r="K6" s="18" t="n">
        <f aca="false">SUMIFS($C$6:$C$124,$A$6:$A$124,$G6,$B$6:$B$124,K$5)</f>
        <v>57576.4214757773</v>
      </c>
      <c r="L6" s="18" t="n">
        <f aca="false">SUMIFS($C$6:$C$124,$A$6:$A$124,$G6,$B$6:$B$124,L$5)</f>
        <v>114791.873001388</v>
      </c>
      <c r="M6" s="18" t="n">
        <f aca="false">SUMIFS($C$6:$C$124,$A$6:$A$124,$G6,$B$6:$B$124,M$5)</f>
        <v>70348.9182069656</v>
      </c>
      <c r="N6" s="18" t="n">
        <f aca="false">SUMIFS($C$6:$C$124,$A$6:$A$124,$G6,$B$6:$B$124,N$5)</f>
        <v>80411.6905236323</v>
      </c>
      <c r="O6" s="18" t="n">
        <f aca="false">SUMIFS($C$6:$C$124,$A$6:$A$124,$G6,$B$6:$B$124,O$5)</f>
        <v>69283.9207958067</v>
      </c>
      <c r="P6" s="19" t="n">
        <f aca="false">SUM(I6:O6)</f>
        <v>611744.092790236</v>
      </c>
    </row>
    <row r="7" customFormat="false" ht="15" hidden="false" customHeight="false" outlineLevel="0" collapsed="false">
      <c r="A7" s="20" t="n">
        <v>45658</v>
      </c>
      <c r="B7" s="21" t="s">
        <v>76</v>
      </c>
      <c r="C7" s="22" t="n">
        <v>77461.6390261659</v>
      </c>
      <c r="D7" s="22" t="n">
        <v>45232.6142540112</v>
      </c>
      <c r="E7" s="22" t="n">
        <v>93014.0084222675</v>
      </c>
      <c r="G7" s="16" t="n">
        <v>45689</v>
      </c>
      <c r="H7" s="2" t="n">
        <v>2</v>
      </c>
      <c r="I7" s="18" t="n">
        <f aca="false">SUMIFS($C$6:$C$124,$A$6:$A$124,$G7,$B$6:$B$124,I$5)</f>
        <v>131285.965084025</v>
      </c>
      <c r="J7" s="18" t="n">
        <f aca="false">SUMIFS($C$6:$C$124,$A$6:$A$124,$G7,$B$6:$B$124,J$5)</f>
        <v>71395.9689816561</v>
      </c>
      <c r="K7" s="18" t="n">
        <f aca="false">SUMIFS($C$6:$C$124,$A$6:$A$124,$G7,$B$6:$B$124,K$5)</f>
        <v>55351.038236332</v>
      </c>
      <c r="L7" s="18" t="n">
        <f aca="false">SUMIFS($C$6:$C$124,$A$6:$A$124,$G7,$B$6:$B$124,L$5)</f>
        <v>129367.102550068</v>
      </c>
      <c r="M7" s="18" t="n">
        <f aca="false">SUMIFS($C$6:$C$124,$A$6:$A$124,$G7,$B$6:$B$124,M$5)</f>
        <v>68187.3582306773</v>
      </c>
      <c r="N7" s="18" t="n">
        <f aca="false">SUMIFS($C$6:$C$124,$A$6:$A$124,$G7,$B$6:$B$124,N$5)</f>
        <v>75021.5470177436</v>
      </c>
      <c r="O7" s="18" t="n">
        <f aca="false">SUMIFS($C$6:$C$124,$A$6:$A$124,$G7,$B$6:$B$124,O$5)</f>
        <v>64715.5958800715</v>
      </c>
      <c r="P7" s="19" t="n">
        <f aca="false">SUM(I7:O7)</f>
        <v>595324.575980574</v>
      </c>
    </row>
    <row r="8" customFormat="false" ht="15" hidden="false" customHeight="false" outlineLevel="0" collapsed="false">
      <c r="A8" s="16" t="n">
        <v>45658</v>
      </c>
      <c r="B8" s="17" t="s">
        <v>77</v>
      </c>
      <c r="C8" s="18" t="n">
        <v>57576.4214757773</v>
      </c>
      <c r="D8" s="18" t="n">
        <v>47000.0250975218</v>
      </c>
      <c r="E8" s="18" t="n">
        <v>64010.9314752662</v>
      </c>
      <c r="G8" s="16" t="n">
        <v>45717</v>
      </c>
      <c r="H8" s="2" t="n">
        <v>3</v>
      </c>
      <c r="I8" s="18" t="n">
        <f aca="false">SUMIFS($C$6:$C$124,$A$6:$A$124,$G8,$B$6:$B$124,I$5)</f>
        <v>170694.113755044</v>
      </c>
      <c r="J8" s="18" t="n">
        <f aca="false">SUMIFS($C$6:$C$124,$A$6:$A$124,$G8,$B$6:$B$124,J$5)</f>
        <v>87880.4922535375</v>
      </c>
      <c r="K8" s="18" t="n">
        <f aca="false">SUMIFS($C$6:$C$124,$A$6:$A$124,$G8,$B$6:$B$124,K$5)</f>
        <v>61084.4258388907</v>
      </c>
      <c r="L8" s="18" t="n">
        <f aca="false">SUMIFS($C$6:$C$124,$A$6:$A$124,$G8,$B$6:$B$124,L$5)</f>
        <v>199666.19696132</v>
      </c>
      <c r="M8" s="18" t="n">
        <f aca="false">SUMIFS($C$6:$C$124,$A$6:$A$124,$G8,$B$6:$B$124,M$5)</f>
        <v>69367.6650893921</v>
      </c>
      <c r="N8" s="18" t="n">
        <f aca="false">SUMIFS($C$6:$C$124,$A$6:$A$124,$G8,$B$6:$B$124,N$5)</f>
        <v>87877.0547226029</v>
      </c>
      <c r="O8" s="18" t="n">
        <f aca="false">SUMIFS($C$6:$C$124,$A$6:$A$124,$G8,$B$6:$B$124,O$5)</f>
        <v>75572.9379707909</v>
      </c>
      <c r="P8" s="19" t="n">
        <f aca="false">SUM(I8:O8)</f>
        <v>752142.886591578</v>
      </c>
    </row>
    <row r="9" customFormat="false" ht="15" hidden="false" customHeight="false" outlineLevel="0" collapsed="false">
      <c r="A9" s="20" t="n">
        <v>45658</v>
      </c>
      <c r="B9" s="21" t="s">
        <v>78</v>
      </c>
      <c r="C9" s="22" t="n">
        <v>114791.873001388</v>
      </c>
      <c r="D9" s="22" t="n">
        <v>112932.928178621</v>
      </c>
      <c r="E9" s="22" t="n">
        <v>118048.307698025</v>
      </c>
      <c r="G9" s="16" t="n">
        <v>45748</v>
      </c>
      <c r="H9" s="2" t="n">
        <v>4</v>
      </c>
      <c r="I9" s="18" t="n">
        <f aca="false">SUMIFS($C$6:$C$124,$A$6:$A$124,$G9,$B$6:$B$124,I$5)</f>
        <v>173641.195234742</v>
      </c>
      <c r="J9" s="18" t="n">
        <f aca="false">SUMIFS($C$6:$C$124,$A$6:$A$124,$G9,$B$6:$B$124,J$5)</f>
        <v>91758.2873440825</v>
      </c>
      <c r="K9" s="18" t="n">
        <f aca="false">SUMIFS($C$6:$C$124,$A$6:$A$124,$G9,$B$6:$B$124,K$5)</f>
        <v>68648.7447398017</v>
      </c>
      <c r="L9" s="18" t="n">
        <f aca="false">SUMIFS($C$6:$C$124,$A$6:$A$124,$G9,$B$6:$B$124,L$5)</f>
        <v>155580.079363759</v>
      </c>
      <c r="M9" s="18" t="n">
        <f aca="false">SUMIFS($C$6:$C$124,$A$6:$A$124,$G9,$B$6:$B$124,M$5)</f>
        <v>72773.1213470523</v>
      </c>
      <c r="N9" s="18" t="n">
        <f aca="false">SUMIFS($C$6:$C$124,$A$6:$A$124,$G9,$B$6:$B$124,N$5)</f>
        <v>89750.9764040002</v>
      </c>
      <c r="O9" s="18" t="n">
        <f aca="false">SUMIFS($C$6:$C$124,$A$6:$A$124,$G9,$B$6:$B$124,O$5)</f>
        <v>73834.6768460324</v>
      </c>
      <c r="P9" s="19" t="n">
        <f aca="false">SUM(I9:O9)</f>
        <v>725987.08127947</v>
      </c>
    </row>
    <row r="10" customFormat="false" ht="15" hidden="false" customHeight="false" outlineLevel="0" collapsed="false">
      <c r="A10" s="16" t="n">
        <v>45658</v>
      </c>
      <c r="B10" s="17" t="s">
        <v>79</v>
      </c>
      <c r="C10" s="18" t="n">
        <v>70348.9182069656</v>
      </c>
      <c r="D10" s="18" t="n">
        <v>59598.3075820191</v>
      </c>
      <c r="E10" s="18" t="n">
        <v>77787.228183653</v>
      </c>
      <c r="G10" s="16" t="n">
        <v>45778</v>
      </c>
      <c r="H10" s="2" t="n">
        <v>5</v>
      </c>
      <c r="I10" s="18" t="n">
        <f aca="false">SUMIFS($C$6:$C$124,$A$6:$A$124,$G10,$B$6:$B$124,I$5)</f>
        <v>168584.862908068</v>
      </c>
      <c r="J10" s="18" t="n">
        <f aca="false">SUMIFS($C$6:$C$124,$A$6:$A$124,$G10,$B$6:$B$124,J$5)</f>
        <v>96378.5621033539</v>
      </c>
      <c r="K10" s="18" t="n">
        <f aca="false">SUMIFS($C$6:$C$124,$A$6:$A$124,$G10,$B$6:$B$124,K$5)</f>
        <v>70552.1757578452</v>
      </c>
      <c r="L10" s="18" t="n">
        <f aca="false">SUMIFS($C$6:$C$124,$A$6:$A$124,$G10,$B$6:$B$124,L$5)</f>
        <v>161497.272543288</v>
      </c>
      <c r="M10" s="18" t="n">
        <f aca="false">SUMIFS($C$6:$C$124,$A$6:$A$124,$G10,$B$6:$B$124,M$5)</f>
        <v>72013.6719762586</v>
      </c>
      <c r="N10" s="18" t="n">
        <f aca="false">SUMIFS($C$6:$C$124,$A$6:$A$124,$G10,$B$6:$B$124,N$5)</f>
        <v>94285.114730693</v>
      </c>
      <c r="O10" s="18" t="n">
        <f aca="false">SUMIFS($C$6:$C$124,$A$6:$A$124,$G10,$B$6:$B$124,O$5)</f>
        <v>84541.5328656235</v>
      </c>
      <c r="P10" s="19" t="n">
        <f aca="false">SUM(I10:O10)</f>
        <v>747853.19288513</v>
      </c>
    </row>
    <row r="11" customFormat="false" ht="15" hidden="false" customHeight="false" outlineLevel="0" collapsed="false">
      <c r="A11" s="20" t="n">
        <v>45658</v>
      </c>
      <c r="B11" s="21" t="s">
        <v>80</v>
      </c>
      <c r="C11" s="22" t="n">
        <v>80411.6905236323</v>
      </c>
      <c r="D11" s="22" t="n">
        <v>63621.6195210855</v>
      </c>
      <c r="E11" s="22" t="n">
        <v>91372.0710362229</v>
      </c>
      <c r="G11" s="16" t="n">
        <v>45809</v>
      </c>
      <c r="H11" s="2" t="n">
        <v>6</v>
      </c>
      <c r="I11" s="18" t="n">
        <f aca="false">SUMIFS($C$6:$C$124,$A$6:$A$124,$G11,$B$6:$B$124,I$5)</f>
        <v>157180.436490527</v>
      </c>
      <c r="J11" s="18" t="n">
        <f aca="false">SUMIFS($C$6:$C$124,$A$6:$A$124,$G11,$B$6:$B$124,J$5)</f>
        <v>92478.4185044336</v>
      </c>
      <c r="K11" s="18" t="n">
        <f aca="false">SUMIFS($C$6:$C$124,$A$6:$A$124,$G11,$B$6:$B$124,K$5)</f>
        <v>70541.8285027761</v>
      </c>
      <c r="L11" s="18" t="n">
        <f aca="false">SUMIFS($C$6:$C$124,$A$6:$A$124,$G11,$B$6:$B$124,L$5)</f>
        <v>140313.55304802</v>
      </c>
      <c r="M11" s="18" t="n">
        <f aca="false">SUMIFS($C$6:$C$124,$A$6:$A$124,$G11,$B$6:$B$124,M$5)</f>
        <v>73722.1746620114</v>
      </c>
      <c r="N11" s="18" t="n">
        <f aca="false">SUMIFS($C$6:$C$124,$A$6:$A$124,$G11,$B$6:$B$124,N$5)</f>
        <v>90268.7341210029</v>
      </c>
      <c r="O11" s="18" t="n">
        <f aca="false">SUMIFS($C$6:$C$124,$A$6:$A$124,$G11,$B$6:$B$124,O$5)</f>
        <v>77440.7569534759</v>
      </c>
      <c r="P11" s="19" t="n">
        <f aca="false">SUM(I11:O11)</f>
        <v>701945.902282247</v>
      </c>
    </row>
    <row r="12" customFormat="false" ht="15" hidden="false" customHeight="false" outlineLevel="0" collapsed="false">
      <c r="A12" s="16" t="n">
        <v>45658</v>
      </c>
      <c r="B12" s="17" t="s">
        <v>81</v>
      </c>
      <c r="C12" s="18" t="n">
        <v>69283.9207958067</v>
      </c>
      <c r="D12" s="18" t="n">
        <v>50164.5248369908</v>
      </c>
      <c r="E12" s="18" t="n">
        <v>79175.3077701429</v>
      </c>
      <c r="G12" s="16" t="n">
        <v>45839</v>
      </c>
      <c r="H12" s="2" t="n">
        <v>7</v>
      </c>
      <c r="I12" s="18" t="n">
        <f aca="false">SUMIFS($C$6:$C$124,$A$6:$A$124,$G12,$B$6:$B$124,I$5)</f>
        <v>157484.696493781</v>
      </c>
      <c r="J12" s="18" t="n">
        <f aca="false">SUMIFS($C$6:$C$124,$A$6:$A$124,$G12,$B$6:$B$124,J$5)</f>
        <v>93742.4528006053</v>
      </c>
      <c r="K12" s="18" t="n">
        <f aca="false">SUMIFS($C$6:$C$124,$A$6:$A$124,$G12,$B$6:$B$124,K$5)</f>
        <v>71220.4688730618</v>
      </c>
      <c r="L12" s="18" t="n">
        <f aca="false">SUMIFS($C$6:$C$124,$A$6:$A$124,$G12,$B$6:$B$124,L$5)</f>
        <v>154568.575099982</v>
      </c>
      <c r="M12" s="18" t="n">
        <f aca="false">SUMIFS($C$6:$C$124,$A$6:$A$124,$G12,$B$6:$B$124,M$5)</f>
        <v>70392.8494157599</v>
      </c>
      <c r="N12" s="18" t="n">
        <f aca="false">SUMIFS($C$6:$C$124,$A$6:$A$124,$G12,$B$6:$B$124,N$5)</f>
        <v>97421.9545795657</v>
      </c>
      <c r="O12" s="18" t="n">
        <f aca="false">SUMIFS($C$6:$C$124,$A$6:$A$124,$G12,$B$6:$B$124,O$5)</f>
        <v>78358.7276004966</v>
      </c>
      <c r="P12" s="19" t="n">
        <f aca="false">SUM(I12:O12)</f>
        <v>723189.724863252</v>
      </c>
    </row>
    <row r="13" customFormat="false" ht="15" hidden="false" customHeight="false" outlineLevel="0" collapsed="false">
      <c r="A13" s="20" t="n">
        <v>45689</v>
      </c>
      <c r="B13" s="21" t="s">
        <v>75</v>
      </c>
      <c r="C13" s="22" t="n">
        <v>131285.965084025</v>
      </c>
      <c r="D13" s="22" t="n">
        <v>108775.436336823</v>
      </c>
      <c r="E13" s="22" t="n">
        <v>145911.607341349</v>
      </c>
      <c r="G13" s="16" t="n">
        <v>45870</v>
      </c>
      <c r="H13" s="2" t="n">
        <v>8</v>
      </c>
      <c r="I13" s="18" t="n">
        <f aca="false">SUMIFS($C$6:$C$124,$A$6:$A$124,$G13,$B$6:$B$124,I$5)</f>
        <v>164579.106825482</v>
      </c>
      <c r="J13" s="18" t="n">
        <f aca="false">SUMIFS($C$6:$C$124,$A$6:$A$124,$G13,$B$6:$B$124,J$5)</f>
        <v>97362.1617629478</v>
      </c>
      <c r="K13" s="18" t="n">
        <f aca="false">SUMIFS($C$6:$C$124,$A$6:$A$124,$G13,$B$6:$B$124,K$5)</f>
        <v>63816.1229908883</v>
      </c>
      <c r="L13" s="18" t="n">
        <f aca="false">SUMIFS($C$6:$C$124,$A$6:$A$124,$G13,$B$6:$B$124,L$5)</f>
        <v>143516.314821371</v>
      </c>
      <c r="M13" s="18" t="n">
        <f aca="false">SUMIFS($C$6:$C$124,$A$6:$A$124,$G13,$B$6:$B$124,M$5)</f>
        <v>73737.5983423229</v>
      </c>
      <c r="N13" s="18" t="n">
        <f aca="false">SUMIFS($C$6:$C$124,$A$6:$A$124,$G13,$B$6:$B$124,N$5)</f>
        <v>100098.435232557</v>
      </c>
      <c r="O13" s="18" t="n">
        <f aca="false">SUMIFS($C$6:$C$124,$A$6:$A$124,$G13,$B$6:$B$124,O$5)</f>
        <v>77229.2807717145</v>
      </c>
      <c r="P13" s="19" t="n">
        <f aca="false">SUM(I13:O13)</f>
        <v>720339.020747283</v>
      </c>
    </row>
    <row r="14" customFormat="false" ht="15" hidden="false" customHeight="false" outlineLevel="0" collapsed="false">
      <c r="A14" s="16" t="n">
        <v>45689</v>
      </c>
      <c r="B14" s="17" t="s">
        <v>76</v>
      </c>
      <c r="C14" s="18" t="n">
        <v>71395.9689816561</v>
      </c>
      <c r="D14" s="18" t="n">
        <v>40575.8107229482</v>
      </c>
      <c r="E14" s="18" t="n">
        <v>85967.4845898003</v>
      </c>
      <c r="G14" s="16" t="n">
        <v>45901</v>
      </c>
      <c r="H14" s="2" t="n">
        <v>9</v>
      </c>
      <c r="I14" s="18" t="n">
        <f aca="false">SUMIFS($C$6:$C$124,$A$6:$A$124,$G14,$B$6:$B$124,I$5)</f>
        <v>158979.414393571</v>
      </c>
      <c r="J14" s="18" t="n">
        <f aca="false">SUMIFS($C$6:$C$124,$A$6:$A$124,$G14,$B$6:$B$124,J$5)</f>
        <v>92261.5061918523</v>
      </c>
      <c r="K14" s="18" t="n">
        <f aca="false">SUMIFS($C$6:$C$124,$A$6:$A$124,$G14,$B$6:$B$124,K$5)</f>
        <v>61211.5172013601</v>
      </c>
      <c r="L14" s="18" t="n">
        <f aca="false">SUMIFS($C$6:$C$124,$A$6:$A$124,$G14,$B$6:$B$124,L$5)</f>
        <v>159667.595837868</v>
      </c>
      <c r="M14" s="18" t="n">
        <f aca="false">SUMIFS($C$6:$C$124,$A$6:$A$124,$G14,$B$6:$B$124,M$5)</f>
        <v>77160.9571376566</v>
      </c>
      <c r="N14" s="18" t="n">
        <f aca="false">SUMIFS($C$6:$C$124,$A$6:$A$124,$G14,$B$6:$B$124,N$5)</f>
        <v>95928.8624483986</v>
      </c>
      <c r="O14" s="18" t="n">
        <f aca="false">SUMIFS($C$6:$C$124,$A$6:$A$124,$G14,$B$6:$B$124,O$5)</f>
        <v>81095.1580094627</v>
      </c>
      <c r="P14" s="19" t="n">
        <f aca="false">SUM(I14:O14)</f>
        <v>726305.011220169</v>
      </c>
    </row>
    <row r="15" customFormat="false" ht="15" hidden="false" customHeight="false" outlineLevel="0" collapsed="false">
      <c r="A15" s="20" t="n">
        <v>45689</v>
      </c>
      <c r="B15" s="21" t="s">
        <v>77</v>
      </c>
      <c r="C15" s="22" t="n">
        <v>55351.038236332</v>
      </c>
      <c r="D15" s="22" t="n">
        <v>45654.6644772754</v>
      </c>
      <c r="E15" s="22" t="n">
        <v>61360.8553343041</v>
      </c>
      <c r="G15" s="16" t="n">
        <v>45931</v>
      </c>
      <c r="H15" s="2" t="n">
        <v>10</v>
      </c>
      <c r="I15" s="18" t="n">
        <f aca="false">SUMIFS($C$6:$C$124,$A$6:$A$124,$G15,$B$6:$B$124,I$5)</f>
        <v>173558.541774895</v>
      </c>
      <c r="J15" s="18" t="n">
        <f aca="false">SUMIFS($C$6:$C$124,$A$6:$A$124,$G15,$B$6:$B$124,J$5)</f>
        <v>111068.969570439</v>
      </c>
      <c r="K15" s="18" t="n">
        <f aca="false">SUMIFS($C$6:$C$124,$A$6:$A$124,$G15,$B$6:$B$124,K$5)</f>
        <v>61411.7857050718</v>
      </c>
      <c r="L15" s="18" t="n">
        <f aca="false">SUMIFS($C$6:$C$124,$A$6:$A$124,$G15,$B$6:$B$124,L$5)</f>
        <v>164202.511690717</v>
      </c>
      <c r="M15" s="18" t="n">
        <f aca="false">SUMIFS($C$6:$C$124,$A$6:$A$124,$G15,$B$6:$B$124,M$5)</f>
        <v>87267.3489761892</v>
      </c>
      <c r="N15" s="18" t="n">
        <f aca="false">SUMIFS($C$6:$C$124,$A$6:$A$124,$G15,$B$6:$B$124,N$5)</f>
        <v>109009.587444051</v>
      </c>
      <c r="O15" s="18" t="n">
        <f aca="false">SUMIFS($C$6:$C$124,$A$6:$A$124,$G15,$B$6:$B$124,O$5)</f>
        <v>85190.8190096979</v>
      </c>
      <c r="P15" s="19" t="n">
        <f aca="false">SUM(I15:O15)</f>
        <v>791709.564171059</v>
      </c>
    </row>
    <row r="16" customFormat="false" ht="15" hidden="false" customHeight="false" outlineLevel="0" collapsed="false">
      <c r="A16" s="16" t="n">
        <v>45689</v>
      </c>
      <c r="B16" s="17" t="s">
        <v>78</v>
      </c>
      <c r="C16" s="18" t="n">
        <v>129367.102550068</v>
      </c>
      <c r="D16" s="18" t="n">
        <v>127972.220776694</v>
      </c>
      <c r="E16" s="18" t="n">
        <v>132211.370804234</v>
      </c>
      <c r="G16" s="16" t="n">
        <v>45962</v>
      </c>
      <c r="H16" s="2" t="n">
        <v>11</v>
      </c>
      <c r="I16" s="18" t="n">
        <f aca="false">SUMIFS($C$6:$C$124,$A$6:$A$124,$G16,$B$6:$B$124,I$5)</f>
        <v>170043.122398734</v>
      </c>
      <c r="J16" s="18" t="n">
        <f aca="false">SUMIFS($C$6:$C$124,$A$6:$A$124,$G16,$B$6:$B$124,J$5)</f>
        <v>132965.797393518</v>
      </c>
      <c r="K16" s="18" t="n">
        <f aca="false">SUMIFS($C$6:$C$124,$A$6:$A$124,$G16,$B$6:$B$124,K$5)</f>
        <v>58841.3899115619</v>
      </c>
      <c r="L16" s="18" t="n">
        <f aca="false">SUMIFS($C$6:$C$124,$A$6:$A$124,$G16,$B$6:$B$124,L$5)</f>
        <v>144469.264071004</v>
      </c>
      <c r="M16" s="18" t="n">
        <f aca="false">SUMIFS($C$6:$C$124,$A$6:$A$124,$G16,$B$6:$B$124,M$5)</f>
        <v>85378.4664283783</v>
      </c>
      <c r="N16" s="18" t="n">
        <f aca="false">SUMIFS($C$6:$C$124,$A$6:$A$124,$G16,$B$6:$B$124,N$5)</f>
        <v>119213.623555724</v>
      </c>
      <c r="O16" s="18" t="n">
        <f aca="false">SUMIFS($C$6:$C$124,$A$6:$A$124,$G16,$B$6:$B$124,O$5)</f>
        <v>90806.4504476426</v>
      </c>
      <c r="P16" s="19" t="n">
        <f aca="false">SUM(I16:O16)</f>
        <v>801718.114206562</v>
      </c>
    </row>
    <row r="17" customFormat="false" ht="15" hidden="false" customHeight="false" outlineLevel="0" collapsed="false">
      <c r="A17" s="20" t="n">
        <v>45689</v>
      </c>
      <c r="B17" s="21" t="s">
        <v>79</v>
      </c>
      <c r="C17" s="22" t="n">
        <v>68187.3582306773</v>
      </c>
      <c r="D17" s="22" t="n">
        <v>57902.004371349</v>
      </c>
      <c r="E17" s="22" t="n">
        <v>75400.180616859</v>
      </c>
      <c r="G17" s="16" t="n">
        <v>45992</v>
      </c>
      <c r="H17" s="2" t="n">
        <v>12</v>
      </c>
      <c r="I17" s="18" t="n">
        <f aca="false">SUMIFS($C$6:$C$124,$A$6:$A$124,$G17,$B$6:$B$124,I$5)</f>
        <v>196719.214679928</v>
      </c>
      <c r="J17" s="18" t="n">
        <f aca="false">SUMIFS($C$6:$C$124,$A$6:$A$124,$G17,$B$6:$B$124,J$5)</f>
        <v>126834.234243472</v>
      </c>
      <c r="K17" s="18" t="n">
        <f aca="false">SUMIFS($C$6:$C$124,$A$6:$A$124,$G17,$B$6:$B$124,K$5)</f>
        <v>67374.5644796311</v>
      </c>
      <c r="L17" s="18" t="n">
        <f aca="false">SUMIFS($C$6:$C$124,$A$6:$A$124,$G17,$B$6:$B$124,L$5)</f>
        <v>179764.624751828</v>
      </c>
      <c r="M17" s="18" t="n">
        <f aca="false">SUMIFS($C$6:$C$124,$A$6:$A$124,$G17,$B$6:$B$124,M$5)</f>
        <v>77821.1707233315</v>
      </c>
      <c r="N17" s="18" t="n">
        <f aca="false">SUMIFS($C$6:$C$124,$A$6:$A$124,$G17,$B$6:$B$124,N$5)</f>
        <v>113922.086087832</v>
      </c>
      <c r="O17" s="18" t="n">
        <f aca="false">SUMIFS($C$6:$C$124,$A$6:$A$124,$G17,$B$6:$B$124,O$5)</f>
        <v>93942.016957413</v>
      </c>
      <c r="P17" s="19" t="n">
        <f aca="false">SUM(I17:O17)</f>
        <v>856377.911923435</v>
      </c>
    </row>
    <row r="18" customFormat="false" ht="15" hidden="false" customHeight="false" outlineLevel="0" collapsed="false">
      <c r="A18" s="16" t="n">
        <v>45689</v>
      </c>
      <c r="B18" s="17" t="s">
        <v>80</v>
      </c>
      <c r="C18" s="18" t="n">
        <v>75021.5470177436</v>
      </c>
      <c r="D18" s="18" t="n">
        <v>59454.2060980754</v>
      </c>
      <c r="E18" s="18" t="n">
        <v>85035.7862724811</v>
      </c>
      <c r="G18" s="16" t="n">
        <v>46023</v>
      </c>
      <c r="H18" s="2" t="n">
        <v>13</v>
      </c>
      <c r="I18" s="18" t="n">
        <f aca="false">SUMIFS($C$6:$C$124,$A$6:$A$124,$G18,$B$6:$B$124,I$5)</f>
        <v>198025.434981657</v>
      </c>
      <c r="J18" s="18" t="n">
        <f aca="false">SUMIFS($C$6:$C$124,$A$6:$A$124,$G18,$B$6:$B$124,J$5)</f>
        <v>102962.322027852</v>
      </c>
      <c r="K18" s="18" t="n">
        <f aca="false">SUMIFS($C$6:$C$124,$A$6:$A$124,$G18,$B$6:$B$124,K$5)</f>
        <v>68852.6929279438</v>
      </c>
      <c r="L18" s="18" t="n">
        <f aca="false">SUMIFS($C$6:$C$124,$A$6:$A$124,$G18,$B$6:$B$124,L$5)</f>
        <v>181287.505310914</v>
      </c>
      <c r="M18" s="18" t="n">
        <f aca="false">SUMIFS($C$6:$C$124,$A$6:$A$124,$G18,$B$6:$B$124,M$5)</f>
        <v>78034.4954924715</v>
      </c>
      <c r="N18" s="18" t="n">
        <f aca="false">SUMIFS($C$6:$C$124,$A$6:$A$124,$G18,$B$6:$B$124,N$5)</f>
        <v>92404.9374837742</v>
      </c>
      <c r="O18" s="18" t="n">
        <f aca="false">SUMIFS($C$6:$C$124,$A$6:$A$124,$G18,$B$6:$B$124,O$5)</f>
        <v>83037.6619653142</v>
      </c>
      <c r="P18" s="19" t="n">
        <f aca="false">SUM(I18:O18)</f>
        <v>804605.050189927</v>
      </c>
    </row>
    <row r="19" customFormat="false" ht="15" hidden="false" customHeight="false" outlineLevel="0" collapsed="false">
      <c r="A19" s="20" t="n">
        <v>45689</v>
      </c>
      <c r="B19" s="21" t="s">
        <v>81</v>
      </c>
      <c r="C19" s="22" t="n">
        <v>64715.5958800715</v>
      </c>
      <c r="D19" s="22" t="n">
        <v>47816.9797194918</v>
      </c>
      <c r="E19" s="22" t="n">
        <v>73676.6352908172</v>
      </c>
      <c r="G19" s="16" t="n">
        <v>46054</v>
      </c>
      <c r="H19" s="2" t="n">
        <v>14</v>
      </c>
      <c r="I19" s="18" t="n">
        <f aca="false">SUMIFS($C$6:$C$124,$A$6:$A$124,$G19,$B$6:$B$124,I$5)</f>
        <v>172349.583489418</v>
      </c>
      <c r="J19" s="18" t="n">
        <f aca="false">SUMIFS($C$6:$C$124,$A$6:$A$124,$G19,$B$6:$B$124,J$5)</f>
        <v>93784.6565146211</v>
      </c>
      <c r="K19" s="18" t="n">
        <f aca="false">SUMIFS($C$6:$C$124,$A$6:$A$124,$G19,$B$6:$B$124,K$5)</f>
        <v>64577.3672237576</v>
      </c>
      <c r="L19" s="18" t="n">
        <f aca="false">SUMIFS($C$6:$C$124,$A$6:$A$124,$G19,$B$6:$B$124,L$5)</f>
        <v>145215.402928758</v>
      </c>
      <c r="M19" s="18" t="n">
        <f aca="false">SUMIFS($C$6:$C$124,$A$6:$A$124,$G19,$B$6:$B$124,M$5)</f>
        <v>67682.0376451216</v>
      </c>
      <c r="N19" s="18" t="n">
        <f aca="false">SUMIFS($C$6:$C$124,$A$6:$A$124,$G19,$B$6:$B$124,N$5)</f>
        <v>87466.7318819601</v>
      </c>
      <c r="O19" s="18" t="n">
        <f aca="false">SUMIFS($C$6:$C$124,$A$6:$A$124,$G19,$B$6:$B$124,O$5)</f>
        <v>77358.6495100386</v>
      </c>
      <c r="P19" s="19" t="n">
        <f aca="false">SUM(I19:O19)</f>
        <v>708434.429193675</v>
      </c>
    </row>
    <row r="20" customFormat="false" ht="15" hidden="false" customHeight="false" outlineLevel="0" collapsed="false">
      <c r="A20" s="16" t="n">
        <v>45717</v>
      </c>
      <c r="B20" s="17" t="s">
        <v>75</v>
      </c>
      <c r="C20" s="18" t="n">
        <v>170694.113755044</v>
      </c>
      <c r="D20" s="18" t="n">
        <v>143497.164788676</v>
      </c>
      <c r="E20" s="18" t="n">
        <v>188887.493872572</v>
      </c>
      <c r="G20" s="16" t="n">
        <v>46082</v>
      </c>
      <c r="H20" s="2" t="n">
        <v>15</v>
      </c>
      <c r="I20" s="18" t="n">
        <f aca="false">SUMIFS($C$6:$C$124,$A$6:$A$124,$G20,$B$6:$B$124,I$5)</f>
        <v>207714.891818337</v>
      </c>
      <c r="J20" s="18" t="n">
        <f aca="false">SUMIFS($C$6:$C$124,$A$6:$A$124,$G20,$B$6:$B$124,J$5)</f>
        <v>107075.445180782</v>
      </c>
      <c r="K20" s="18" t="n">
        <f aca="false">SUMIFS($C$6:$C$124,$A$6:$A$124,$G20,$B$6:$B$124,K$5)</f>
        <v>74857.5748555818</v>
      </c>
      <c r="L20" s="18" t="n">
        <f aca="false">SUMIFS($C$6:$C$124,$A$6:$A$124,$G20,$B$6:$B$124,L$5)</f>
        <v>219042.945320916</v>
      </c>
      <c r="M20" s="18" t="n">
        <f aca="false">SUMIFS($C$6:$C$124,$A$6:$A$124,$G20,$B$6:$B$124,M$5)</f>
        <v>74464.0145383124</v>
      </c>
      <c r="N20" s="18" t="n">
        <f aca="false">SUMIFS($C$6:$C$124,$A$6:$A$124,$G20,$B$6:$B$124,N$5)</f>
        <v>100600.740739173</v>
      </c>
      <c r="O20" s="18" t="n">
        <f aca="false">SUMIFS($C$6:$C$124,$A$6:$A$124,$G20,$B$6:$B$124,O$5)</f>
        <v>86338.6019182901</v>
      </c>
      <c r="P20" s="19" t="n">
        <f aca="false">SUM(I20:O20)</f>
        <v>870094.214371393</v>
      </c>
    </row>
    <row r="21" customFormat="false" ht="15" hidden="false" customHeight="false" outlineLevel="0" collapsed="false">
      <c r="A21" s="20" t="n">
        <v>45717</v>
      </c>
      <c r="B21" s="21" t="s">
        <v>76</v>
      </c>
      <c r="C21" s="22" t="n">
        <v>87880.4922535375</v>
      </c>
      <c r="D21" s="22" t="n">
        <v>51607.7944526216</v>
      </c>
      <c r="E21" s="22" t="n">
        <v>105580.513878842</v>
      </c>
      <c r="G21" s="16" t="n">
        <v>46113</v>
      </c>
      <c r="H21" s="2" t="n">
        <v>16</v>
      </c>
      <c r="I21" s="18" t="n">
        <f aca="false">SUMIFS($C$6:$C$124,$A$6:$A$124,$G21,$B$6:$B$124,I$5)</f>
        <v>215101.334819773</v>
      </c>
      <c r="J21" s="18" t="n">
        <f aca="false">SUMIFS($C$6:$C$124,$A$6:$A$124,$G21,$B$6:$B$124,J$5)</f>
        <v>99504.5953470621</v>
      </c>
      <c r="K21" s="18" t="n">
        <f aca="false">SUMIFS($C$6:$C$124,$A$6:$A$124,$G21,$B$6:$B$124,K$5)</f>
        <v>78120.4239153631</v>
      </c>
      <c r="L21" s="18" t="n">
        <f aca="false">SUMIFS($C$6:$C$124,$A$6:$A$124,$G21,$B$6:$B$124,L$5)</f>
        <v>239549.439585107</v>
      </c>
      <c r="M21" s="18" t="n">
        <f aca="false">SUMIFS($C$6:$C$124,$A$6:$A$124,$G21,$B$6:$B$124,M$5)</f>
        <v>72718.1095108863</v>
      </c>
      <c r="N21" s="18" t="n">
        <f aca="false">SUMIFS($C$6:$C$124,$A$6:$A$124,$G21,$B$6:$B$124,N$5)</f>
        <v>94561.9202840399</v>
      </c>
      <c r="O21" s="18" t="n">
        <f aca="false">SUMIFS($C$6:$C$124,$A$6:$A$124,$G21,$B$6:$B$124,O$5)</f>
        <v>81252.9155873846</v>
      </c>
      <c r="P21" s="19" t="n">
        <f aca="false">SUM(I21:O21)</f>
        <v>880808.739049616</v>
      </c>
    </row>
    <row r="22" customFormat="false" ht="15" hidden="false" customHeight="false" outlineLevel="0" collapsed="false">
      <c r="A22" s="16" t="n">
        <v>45717</v>
      </c>
      <c r="B22" s="17" t="s">
        <v>77</v>
      </c>
      <c r="C22" s="18" t="n">
        <v>61084.4258388907</v>
      </c>
      <c r="D22" s="18" t="n">
        <v>49295.2737836177</v>
      </c>
      <c r="E22" s="18" t="n">
        <v>68135.704456792</v>
      </c>
      <c r="G22" s="16" t="n">
        <v>46143</v>
      </c>
      <c r="H22" s="2" t="n">
        <v>17</v>
      </c>
      <c r="I22" s="18" t="n">
        <f aca="false">SUMIFS($C$6:$C$124,$A$6:$A$124,$G22,$B$6:$B$124,I$5)</f>
        <v>199289.574781579</v>
      </c>
      <c r="J22" s="18" t="n">
        <f aca="false">SUMIFS($C$6:$C$124,$A$6:$A$124,$G22,$B$6:$B$124,J$5)</f>
        <v>107902.815874817</v>
      </c>
      <c r="K22" s="18" t="n">
        <f aca="false">SUMIFS($C$6:$C$124,$A$6:$A$124,$G22,$B$6:$B$124,K$5)</f>
        <v>79901.8988019935</v>
      </c>
      <c r="L22" s="18" t="n">
        <f aca="false">SUMIFS($C$6:$C$124,$A$6:$A$124,$G22,$B$6:$B$124,L$5)</f>
        <v>182830.560650403</v>
      </c>
      <c r="M22" s="18" t="n">
        <f aca="false">SUMIFS($C$6:$C$124,$A$6:$A$124,$G22,$B$6:$B$124,M$5)</f>
        <v>77319.3466343484</v>
      </c>
      <c r="N22" s="18" t="n">
        <f aca="false">SUMIFS($C$6:$C$124,$A$6:$A$124,$G22,$B$6:$B$124,N$5)</f>
        <v>102550.649763231</v>
      </c>
      <c r="O22" s="18" t="n">
        <f aca="false">SUMIFS($C$6:$C$124,$A$6:$A$124,$G22,$B$6:$B$124,O$5)</f>
        <v>87225.1646952138</v>
      </c>
      <c r="P22" s="19" t="n">
        <f aca="false">SUM(I22:O22)</f>
        <v>837020.011201586</v>
      </c>
    </row>
    <row r="23" customFormat="false" ht="15" hidden="false" customHeight="false" outlineLevel="0" collapsed="false">
      <c r="A23" s="20" t="n">
        <v>45717</v>
      </c>
      <c r="B23" s="21" t="s">
        <v>78</v>
      </c>
      <c r="C23" s="22" t="n">
        <v>199666.19696132</v>
      </c>
      <c r="D23" s="22" t="n">
        <v>197792.735175901</v>
      </c>
      <c r="E23" s="22" t="n">
        <v>203002.034362389</v>
      </c>
      <c r="G23" s="9" t="s">
        <v>82</v>
      </c>
      <c r="I23" s="23" t="n">
        <f aca="false">SUM(I6:I22)</f>
        <v>2957101.11969006</v>
      </c>
      <c r="J23" s="23" t="n">
        <f aca="false">SUM(J6:J22)</f>
        <v>1682818.3251212</v>
      </c>
      <c r="K23" s="23" t="n">
        <f aca="false">SUM(K6:K22)</f>
        <v>1133940.44143764</v>
      </c>
      <c r="L23" s="23" t="n">
        <f aca="false">SUM(L6:L22)</f>
        <v>2815330.81753671</v>
      </c>
      <c r="M23" s="23" t="n">
        <f aca="false">SUM(M6:M22)</f>
        <v>1268389.30435714</v>
      </c>
      <c r="N23" s="23" t="n">
        <f aca="false">SUM(N6:N22)</f>
        <v>1630794.64701998</v>
      </c>
      <c r="O23" s="23" t="n">
        <f aca="false">SUM(O6:O22)</f>
        <v>1367224.86778447</v>
      </c>
      <c r="P23" s="23" t="n">
        <f aca="false">SUM(P6:P22)</f>
        <v>12855599.5229472</v>
      </c>
    </row>
    <row r="24" customFormat="false" ht="15" hidden="false" customHeight="false" outlineLevel="0" collapsed="false">
      <c r="A24" s="16" t="n">
        <v>45717</v>
      </c>
      <c r="B24" s="17" t="s">
        <v>79</v>
      </c>
      <c r="C24" s="18" t="n">
        <v>69367.6650893921</v>
      </c>
      <c r="D24" s="18" t="n">
        <v>56372.5953091103</v>
      </c>
      <c r="E24" s="18" t="n">
        <v>77787.487461995</v>
      </c>
    </row>
    <row r="25" customFormat="false" ht="15" hidden="false" customHeight="false" outlineLevel="0" collapsed="false">
      <c r="A25" s="20" t="n">
        <v>45717</v>
      </c>
      <c r="B25" s="21" t="s">
        <v>80</v>
      </c>
      <c r="C25" s="22" t="n">
        <v>87877.0547226029</v>
      </c>
      <c r="D25" s="22" t="n">
        <v>69395.7017718315</v>
      </c>
      <c r="E25" s="22" t="n">
        <v>99862.8396350698</v>
      </c>
      <c r="G25" s="2" t="s">
        <v>83</v>
      </c>
    </row>
    <row r="26" customFormat="false" ht="15" hidden="false" customHeight="false" outlineLevel="0" collapsed="false">
      <c r="A26" s="16" t="n">
        <v>45717</v>
      </c>
      <c r="B26" s="17" t="s">
        <v>81</v>
      </c>
      <c r="C26" s="18" t="n">
        <v>75572.9379707909</v>
      </c>
      <c r="D26" s="18" t="n">
        <v>57307.5974416229</v>
      </c>
      <c r="E26" s="18" t="n">
        <v>85723.9920891063</v>
      </c>
    </row>
    <row r="27" customFormat="false" ht="15" hidden="false" customHeight="false" outlineLevel="0" collapsed="false">
      <c r="A27" s="20" t="n">
        <v>45748</v>
      </c>
      <c r="B27" s="21" t="s">
        <v>75</v>
      </c>
      <c r="C27" s="22" t="n">
        <v>173641.195234742</v>
      </c>
      <c r="D27" s="22" t="n">
        <v>147917.622741422</v>
      </c>
      <c r="E27" s="22" t="n">
        <v>190473.947577851</v>
      </c>
    </row>
    <row r="28" customFormat="false" ht="15" hidden="false" customHeight="false" outlineLevel="0" collapsed="false">
      <c r="A28" s="16" t="n">
        <v>45748</v>
      </c>
      <c r="B28" s="17" t="s">
        <v>76</v>
      </c>
      <c r="C28" s="18" t="n">
        <v>91758.2873440825</v>
      </c>
      <c r="D28" s="18" t="n">
        <v>51592.3440011261</v>
      </c>
      <c r="E28" s="18" t="n">
        <v>110942.462739631</v>
      </c>
    </row>
    <row r="29" customFormat="false" ht="15" hidden="false" customHeight="false" outlineLevel="0" collapsed="false">
      <c r="A29" s="20" t="n">
        <v>45748</v>
      </c>
      <c r="B29" s="21" t="s">
        <v>77</v>
      </c>
      <c r="C29" s="22" t="n">
        <v>68648.7447398017</v>
      </c>
      <c r="D29" s="22" t="n">
        <v>54663.8544225346</v>
      </c>
      <c r="E29" s="22" t="n">
        <v>76776.6709557253</v>
      </c>
    </row>
    <row r="30" customFormat="false" ht="15" hidden="false" customHeight="false" outlineLevel="0" collapsed="false">
      <c r="A30" s="16" t="n">
        <v>45748</v>
      </c>
      <c r="B30" s="17" t="s">
        <v>78</v>
      </c>
      <c r="C30" s="18" t="n">
        <v>155580.079363759</v>
      </c>
      <c r="D30" s="18" t="n">
        <v>153718.358061307</v>
      </c>
      <c r="E30" s="18" t="n">
        <v>158961.842967321</v>
      </c>
    </row>
    <row r="31" customFormat="false" ht="15" hidden="false" customHeight="false" outlineLevel="0" collapsed="false">
      <c r="A31" s="20" t="n">
        <v>45748</v>
      </c>
      <c r="B31" s="21" t="s">
        <v>79</v>
      </c>
      <c r="C31" s="22" t="n">
        <v>72773.1213470523</v>
      </c>
      <c r="D31" s="22" t="n">
        <v>60406.6942516056</v>
      </c>
      <c r="E31" s="22" t="n">
        <v>81046.8204851933</v>
      </c>
    </row>
    <row r="32" customFormat="false" ht="15" hidden="false" customHeight="false" outlineLevel="0" collapsed="false">
      <c r="A32" s="16" t="n">
        <v>45748</v>
      </c>
      <c r="B32" s="17" t="s">
        <v>80</v>
      </c>
      <c r="C32" s="18" t="n">
        <v>89750.9764040002</v>
      </c>
      <c r="D32" s="18" t="n">
        <v>69717.8222326874</v>
      </c>
      <c r="E32" s="18" t="n">
        <v>102308.969928362</v>
      </c>
    </row>
    <row r="33" customFormat="false" ht="15" hidden="false" customHeight="false" outlineLevel="0" collapsed="false">
      <c r="A33" s="20" t="n">
        <v>45748</v>
      </c>
      <c r="B33" s="21" t="s">
        <v>81</v>
      </c>
      <c r="C33" s="22" t="n">
        <v>73834.6768460324</v>
      </c>
      <c r="D33" s="22" t="n">
        <v>56369.363971044</v>
      </c>
      <c r="E33" s="22" t="n">
        <v>83769.1309111148</v>
      </c>
    </row>
    <row r="34" customFormat="false" ht="15" hidden="false" customHeight="false" outlineLevel="0" collapsed="false">
      <c r="A34" s="16" t="n">
        <v>45778</v>
      </c>
      <c r="B34" s="17" t="s">
        <v>75</v>
      </c>
      <c r="C34" s="18" t="n">
        <v>168584.862908068</v>
      </c>
      <c r="D34" s="18" t="n">
        <v>143013.398168677</v>
      </c>
      <c r="E34" s="18" t="n">
        <v>185353.092516571</v>
      </c>
    </row>
    <row r="35" customFormat="false" ht="15" hidden="false" customHeight="false" outlineLevel="0" collapsed="false">
      <c r="A35" s="20" t="n">
        <v>45778</v>
      </c>
      <c r="B35" s="21" t="s">
        <v>76</v>
      </c>
      <c r="C35" s="22" t="n">
        <v>96378.5621033539</v>
      </c>
      <c r="D35" s="22" t="n">
        <v>54302.443589525</v>
      </c>
      <c r="E35" s="22" t="n">
        <v>116714.18845294</v>
      </c>
    </row>
    <row r="36" customFormat="false" ht="15" hidden="false" customHeight="false" outlineLevel="0" collapsed="false">
      <c r="A36" s="16" t="n">
        <v>45778</v>
      </c>
      <c r="B36" s="17" t="s">
        <v>77</v>
      </c>
      <c r="C36" s="18" t="n">
        <v>70552.1757578452</v>
      </c>
      <c r="D36" s="18" t="n">
        <v>55686.552032856</v>
      </c>
      <c r="E36" s="18" t="n">
        <v>79130.7458573583</v>
      </c>
    </row>
    <row r="37" customFormat="false" ht="15" hidden="false" customHeight="false" outlineLevel="0" collapsed="false">
      <c r="A37" s="20" t="n">
        <v>45778</v>
      </c>
      <c r="B37" s="21" t="s">
        <v>78</v>
      </c>
      <c r="C37" s="22" t="n">
        <v>161497.272543288</v>
      </c>
      <c r="D37" s="22" t="n">
        <v>159412.576379961</v>
      </c>
      <c r="E37" s="22" t="n">
        <v>165662.202682956</v>
      </c>
    </row>
    <row r="38" customFormat="false" ht="15" hidden="false" customHeight="false" outlineLevel="0" collapsed="false">
      <c r="A38" s="16" t="n">
        <v>45778</v>
      </c>
      <c r="B38" s="17" t="s">
        <v>79</v>
      </c>
      <c r="C38" s="18" t="n">
        <v>72013.6719762586</v>
      </c>
      <c r="D38" s="18" t="n">
        <v>59871.7358579598</v>
      </c>
      <c r="E38" s="18" t="n">
        <v>80063.366598992</v>
      </c>
    </row>
    <row r="39" customFormat="false" ht="15" hidden="false" customHeight="false" outlineLevel="0" collapsed="false">
      <c r="A39" s="20" t="n">
        <v>45778</v>
      </c>
      <c r="B39" s="21" t="s">
        <v>80</v>
      </c>
      <c r="C39" s="22" t="n">
        <v>94285.114730693</v>
      </c>
      <c r="D39" s="22" t="n">
        <v>72445.4544237913</v>
      </c>
      <c r="E39" s="22" t="n">
        <v>108067.314348366</v>
      </c>
    </row>
    <row r="40" customFormat="false" ht="15" hidden="false" customHeight="false" outlineLevel="0" collapsed="false">
      <c r="A40" s="16" t="n">
        <v>45778</v>
      </c>
      <c r="B40" s="17" t="s">
        <v>81</v>
      </c>
      <c r="C40" s="18" t="n">
        <v>84541.5328656235</v>
      </c>
      <c r="D40" s="18" t="n">
        <v>65543.1033832402</v>
      </c>
      <c r="E40" s="18" t="n">
        <v>95243.0015155511</v>
      </c>
    </row>
    <row r="41" customFormat="false" ht="15" hidden="false" customHeight="false" outlineLevel="0" collapsed="false">
      <c r="A41" s="20" t="n">
        <v>45809</v>
      </c>
      <c r="B41" s="21" t="s">
        <v>75</v>
      </c>
      <c r="C41" s="22" t="n">
        <v>157180.436490527</v>
      </c>
      <c r="D41" s="22" t="n">
        <v>129413.112544736</v>
      </c>
      <c r="E41" s="22" t="n">
        <v>174098.416416707</v>
      </c>
    </row>
    <row r="42" customFormat="false" ht="15" hidden="false" customHeight="false" outlineLevel="0" collapsed="false">
      <c r="A42" s="16" t="n">
        <v>45809</v>
      </c>
      <c r="B42" s="17" t="s">
        <v>76</v>
      </c>
      <c r="C42" s="18" t="n">
        <v>92478.4185044336</v>
      </c>
      <c r="D42" s="18" t="n">
        <v>51640.4265358677</v>
      </c>
      <c r="E42" s="18" t="n">
        <v>111803.058510853</v>
      </c>
    </row>
    <row r="43" customFormat="false" ht="15" hidden="false" customHeight="false" outlineLevel="0" collapsed="false">
      <c r="A43" s="20" t="n">
        <v>45809</v>
      </c>
      <c r="B43" s="21" t="s">
        <v>77</v>
      </c>
      <c r="C43" s="22" t="n">
        <v>70541.8285027761</v>
      </c>
      <c r="D43" s="22" t="n">
        <v>54665.0468102191</v>
      </c>
      <c r="E43" s="22" t="n">
        <v>79795.5001046806</v>
      </c>
    </row>
    <row r="44" customFormat="false" ht="15" hidden="false" customHeight="false" outlineLevel="0" collapsed="false">
      <c r="A44" s="16" t="n">
        <v>45809</v>
      </c>
      <c r="B44" s="17" t="s">
        <v>78</v>
      </c>
      <c r="C44" s="18" t="n">
        <v>140313.55304802</v>
      </c>
      <c r="D44" s="18" t="n">
        <v>138631.330265786</v>
      </c>
      <c r="E44" s="18" t="n">
        <v>143918.462435673</v>
      </c>
    </row>
    <row r="45" customFormat="false" ht="15" hidden="false" customHeight="false" outlineLevel="0" collapsed="false">
      <c r="A45" s="20" t="n">
        <v>45809</v>
      </c>
      <c r="B45" s="21" t="s">
        <v>79</v>
      </c>
      <c r="C45" s="22" t="n">
        <v>73722.1746620114</v>
      </c>
      <c r="D45" s="22" t="n">
        <v>62466.2342070767</v>
      </c>
      <c r="E45" s="22" t="n">
        <v>81422.7963234087</v>
      </c>
    </row>
    <row r="46" customFormat="false" ht="15" hidden="false" customHeight="false" outlineLevel="0" collapsed="false">
      <c r="A46" s="16" t="n">
        <v>45809</v>
      </c>
      <c r="B46" s="17" t="s">
        <v>80</v>
      </c>
      <c r="C46" s="18" t="n">
        <v>90268.7341210029</v>
      </c>
      <c r="D46" s="18" t="n">
        <v>71331.2117246841</v>
      </c>
      <c r="E46" s="18" t="n">
        <v>102918.682571575</v>
      </c>
    </row>
    <row r="47" customFormat="false" ht="15" hidden="false" customHeight="false" outlineLevel="0" collapsed="false">
      <c r="A47" s="20" t="n">
        <v>45809</v>
      </c>
      <c r="B47" s="21" t="s">
        <v>81</v>
      </c>
      <c r="C47" s="22" t="n">
        <v>77440.7569534759</v>
      </c>
      <c r="D47" s="22" t="n">
        <v>58848.6948664873</v>
      </c>
      <c r="E47" s="22" t="n">
        <v>87835.2320078989</v>
      </c>
    </row>
    <row r="48" customFormat="false" ht="15" hidden="false" customHeight="false" outlineLevel="0" collapsed="false">
      <c r="A48" s="16" t="n">
        <v>45839</v>
      </c>
      <c r="B48" s="17" t="s">
        <v>75</v>
      </c>
      <c r="C48" s="18" t="n">
        <v>157484.696493781</v>
      </c>
      <c r="D48" s="18" t="n">
        <v>123940.366635522</v>
      </c>
      <c r="E48" s="18" t="n">
        <v>177246.964554553</v>
      </c>
    </row>
    <row r="49" customFormat="false" ht="15" hidden="false" customHeight="false" outlineLevel="0" collapsed="false">
      <c r="A49" s="20" t="n">
        <v>45839</v>
      </c>
      <c r="B49" s="21" t="s">
        <v>76</v>
      </c>
      <c r="C49" s="22" t="n">
        <v>93742.4528006053</v>
      </c>
      <c r="D49" s="22" t="n">
        <v>55827.1056687776</v>
      </c>
      <c r="E49" s="22" t="n">
        <v>111491.037785368</v>
      </c>
    </row>
    <row r="50" customFormat="false" ht="15" hidden="false" customHeight="false" outlineLevel="0" collapsed="false">
      <c r="A50" s="16" t="n">
        <v>45839</v>
      </c>
      <c r="B50" s="17" t="s">
        <v>77</v>
      </c>
      <c r="C50" s="18" t="n">
        <v>71220.4688730618</v>
      </c>
      <c r="D50" s="18" t="n">
        <v>56567.6088350186</v>
      </c>
      <c r="E50" s="18" t="n">
        <v>80130.1093814821</v>
      </c>
    </row>
    <row r="51" customFormat="false" ht="15" hidden="false" customHeight="false" outlineLevel="0" collapsed="false">
      <c r="A51" s="20" t="n">
        <v>45839</v>
      </c>
      <c r="B51" s="21" t="s">
        <v>78</v>
      </c>
      <c r="C51" s="22" t="n">
        <v>154568.575099982</v>
      </c>
      <c r="D51" s="22" t="n">
        <v>153074.074802799</v>
      </c>
      <c r="E51" s="22" t="n">
        <v>158076.504936005</v>
      </c>
    </row>
    <row r="52" customFormat="false" ht="15" hidden="false" customHeight="false" outlineLevel="0" collapsed="false">
      <c r="A52" s="16" t="n">
        <v>45839</v>
      </c>
      <c r="B52" s="17" t="s">
        <v>79</v>
      </c>
      <c r="C52" s="18" t="n">
        <v>70392.8494157599</v>
      </c>
      <c r="D52" s="18" t="n">
        <v>58376.6191796781</v>
      </c>
      <c r="E52" s="18" t="n">
        <v>78205.8584205246</v>
      </c>
    </row>
    <row r="53" customFormat="false" ht="15" hidden="false" customHeight="false" outlineLevel="0" collapsed="false">
      <c r="A53" s="20" t="n">
        <v>45839</v>
      </c>
      <c r="B53" s="21" t="s">
        <v>80</v>
      </c>
      <c r="C53" s="22" t="n">
        <v>97421.9545795657</v>
      </c>
      <c r="D53" s="22" t="n">
        <v>78468.5264174225</v>
      </c>
      <c r="E53" s="22" t="n">
        <v>110277.960771164</v>
      </c>
    </row>
    <row r="54" customFormat="false" ht="15" hidden="false" customHeight="false" outlineLevel="0" collapsed="false">
      <c r="A54" s="16" t="n">
        <v>45839</v>
      </c>
      <c r="B54" s="17" t="s">
        <v>81</v>
      </c>
      <c r="C54" s="18" t="n">
        <v>78358.7276004966</v>
      </c>
      <c r="D54" s="18" t="n">
        <v>60000.2484897642</v>
      </c>
      <c r="E54" s="18" t="n">
        <v>88971.978633277</v>
      </c>
    </row>
    <row r="55" customFormat="false" ht="15" hidden="false" customHeight="false" outlineLevel="0" collapsed="false">
      <c r="A55" s="20" t="n">
        <v>45870</v>
      </c>
      <c r="B55" s="21" t="s">
        <v>75</v>
      </c>
      <c r="C55" s="22" t="n">
        <v>164579.106825482</v>
      </c>
      <c r="D55" s="22" t="n">
        <v>130479.766913104</v>
      </c>
      <c r="E55" s="22" t="n">
        <v>185215.017539343</v>
      </c>
    </row>
    <row r="56" customFormat="false" ht="15" hidden="false" customHeight="false" outlineLevel="0" collapsed="false">
      <c r="A56" s="16" t="n">
        <v>45870</v>
      </c>
      <c r="B56" s="17" t="s">
        <v>76</v>
      </c>
      <c r="C56" s="18" t="n">
        <v>97362.1617629478</v>
      </c>
      <c r="D56" s="18" t="n">
        <v>59332.7082001908</v>
      </c>
      <c r="E56" s="18" t="n">
        <v>115549.632775497</v>
      </c>
    </row>
    <row r="57" customFormat="false" ht="15" hidden="false" customHeight="false" outlineLevel="0" collapsed="false">
      <c r="A57" s="20" t="n">
        <v>45870</v>
      </c>
      <c r="B57" s="21" t="s">
        <v>77</v>
      </c>
      <c r="C57" s="22" t="n">
        <v>63816.1229908883</v>
      </c>
      <c r="D57" s="22" t="n">
        <v>50925.578260237</v>
      </c>
      <c r="E57" s="22" t="n">
        <v>71607.4903765242</v>
      </c>
    </row>
    <row r="58" customFormat="false" ht="15" hidden="false" customHeight="false" outlineLevel="0" collapsed="false">
      <c r="A58" s="16" t="n">
        <v>45870</v>
      </c>
      <c r="B58" s="17" t="s">
        <v>78</v>
      </c>
      <c r="C58" s="18" t="n">
        <v>143516.314821371</v>
      </c>
      <c r="D58" s="18" t="n">
        <v>142232.950765967</v>
      </c>
      <c r="E58" s="18" t="n">
        <v>146685.683330967</v>
      </c>
    </row>
    <row r="59" customFormat="false" ht="15" hidden="false" customHeight="false" outlineLevel="0" collapsed="false">
      <c r="A59" s="20" t="n">
        <v>45870</v>
      </c>
      <c r="B59" s="21" t="s">
        <v>79</v>
      </c>
      <c r="C59" s="22" t="n">
        <v>73737.5983423229</v>
      </c>
      <c r="D59" s="22" t="n">
        <v>60239.5787728325</v>
      </c>
      <c r="E59" s="22" t="n">
        <v>82354.1714006288</v>
      </c>
    </row>
    <row r="60" customFormat="false" ht="15" hidden="false" customHeight="false" outlineLevel="0" collapsed="false">
      <c r="A60" s="16" t="n">
        <v>45870</v>
      </c>
      <c r="B60" s="17" t="s">
        <v>80</v>
      </c>
      <c r="C60" s="18" t="n">
        <v>100098.435232557</v>
      </c>
      <c r="D60" s="18" t="n">
        <v>80096.2583801054</v>
      </c>
      <c r="E60" s="18" t="n">
        <v>113127.896663673</v>
      </c>
    </row>
    <row r="61" customFormat="false" ht="15" hidden="false" customHeight="false" outlineLevel="0" collapsed="false">
      <c r="A61" s="20" t="n">
        <v>45870</v>
      </c>
      <c r="B61" s="21" t="s">
        <v>81</v>
      </c>
      <c r="C61" s="22" t="n">
        <v>77229.2807717145</v>
      </c>
      <c r="D61" s="22" t="n">
        <v>58015.9784823538</v>
      </c>
      <c r="E61" s="22" t="n">
        <v>88522.0148703907</v>
      </c>
    </row>
    <row r="62" customFormat="false" ht="15" hidden="false" customHeight="false" outlineLevel="0" collapsed="false">
      <c r="A62" s="16" t="n">
        <v>45901</v>
      </c>
      <c r="B62" s="17" t="s">
        <v>75</v>
      </c>
      <c r="C62" s="18" t="n">
        <v>158979.414393571</v>
      </c>
      <c r="D62" s="18" t="n">
        <v>127236.930671182</v>
      </c>
      <c r="E62" s="18" t="n">
        <v>178684.879229441</v>
      </c>
    </row>
    <row r="63" customFormat="false" ht="15" hidden="false" customHeight="false" outlineLevel="0" collapsed="false">
      <c r="A63" s="20" t="n">
        <v>45901</v>
      </c>
      <c r="B63" s="21" t="s">
        <v>76</v>
      </c>
      <c r="C63" s="22" t="n">
        <v>92261.5061918523</v>
      </c>
      <c r="D63" s="22" t="n">
        <v>55425.195187169</v>
      </c>
      <c r="E63" s="22" t="n">
        <v>109935.333934481</v>
      </c>
    </row>
    <row r="64" customFormat="false" ht="15" hidden="false" customHeight="false" outlineLevel="0" collapsed="false">
      <c r="A64" s="16" t="n">
        <v>45901</v>
      </c>
      <c r="B64" s="17" t="s">
        <v>77</v>
      </c>
      <c r="C64" s="18" t="n">
        <v>61211.5172013601</v>
      </c>
      <c r="D64" s="18" t="n">
        <v>50271.3941841268</v>
      </c>
      <c r="E64" s="18" t="n">
        <v>68009.7253711378</v>
      </c>
    </row>
    <row r="65" customFormat="false" ht="15" hidden="false" customHeight="false" outlineLevel="0" collapsed="false">
      <c r="A65" s="20" t="n">
        <v>45901</v>
      </c>
      <c r="B65" s="21" t="s">
        <v>78</v>
      </c>
      <c r="C65" s="22" t="n">
        <v>159667.595837868</v>
      </c>
      <c r="D65" s="22" t="n">
        <v>158193.350093193</v>
      </c>
      <c r="E65" s="22" t="n">
        <v>162804.797872858</v>
      </c>
    </row>
    <row r="66" customFormat="false" ht="15" hidden="false" customHeight="false" outlineLevel="0" collapsed="false">
      <c r="A66" s="16" t="n">
        <v>45901</v>
      </c>
      <c r="B66" s="17" t="s">
        <v>79</v>
      </c>
      <c r="C66" s="18" t="n">
        <v>77160.9571376566</v>
      </c>
      <c r="D66" s="18" t="n">
        <v>59407.5647981824</v>
      </c>
      <c r="E66" s="18" t="n">
        <v>86729.7769023816</v>
      </c>
    </row>
    <row r="67" customFormat="false" ht="15" hidden="false" customHeight="false" outlineLevel="0" collapsed="false">
      <c r="A67" s="20" t="n">
        <v>45901</v>
      </c>
      <c r="B67" s="21" t="s">
        <v>80</v>
      </c>
      <c r="C67" s="22" t="n">
        <v>95928.8624483986</v>
      </c>
      <c r="D67" s="22" t="n">
        <v>76748.6268384316</v>
      </c>
      <c r="E67" s="22" t="n">
        <v>108591.769261959</v>
      </c>
    </row>
    <row r="68" customFormat="false" ht="15" hidden="false" customHeight="false" outlineLevel="0" collapsed="false">
      <c r="A68" s="16" t="n">
        <v>45901</v>
      </c>
      <c r="B68" s="17" t="s">
        <v>81</v>
      </c>
      <c r="C68" s="18" t="n">
        <v>81095.1580094627</v>
      </c>
      <c r="D68" s="18" t="n">
        <v>63457.1597913062</v>
      </c>
      <c r="E68" s="18" t="n">
        <v>92406.3143905988</v>
      </c>
    </row>
    <row r="69" customFormat="false" ht="15" hidden="false" customHeight="false" outlineLevel="0" collapsed="false">
      <c r="A69" s="20" t="n">
        <v>45931</v>
      </c>
      <c r="B69" s="21" t="s">
        <v>75</v>
      </c>
      <c r="C69" s="22" t="n">
        <v>173558.541774895</v>
      </c>
      <c r="D69" s="22" t="n">
        <v>136182.026962036</v>
      </c>
      <c r="E69" s="22" t="n">
        <v>197108.430548086</v>
      </c>
    </row>
    <row r="70" customFormat="false" ht="15" hidden="false" customHeight="false" outlineLevel="0" collapsed="false">
      <c r="A70" s="16" t="n">
        <v>45931</v>
      </c>
      <c r="B70" s="17" t="s">
        <v>76</v>
      </c>
      <c r="C70" s="18" t="n">
        <v>111068.969570439</v>
      </c>
      <c r="D70" s="18" t="n">
        <v>64781.4226768131</v>
      </c>
      <c r="E70" s="18" t="n">
        <v>132050.769441112</v>
      </c>
    </row>
    <row r="71" customFormat="false" ht="15" hidden="false" customHeight="false" outlineLevel="0" collapsed="false">
      <c r="A71" s="20" t="n">
        <v>45931</v>
      </c>
      <c r="B71" s="21" t="s">
        <v>77</v>
      </c>
      <c r="C71" s="22" t="n">
        <v>61411.7857050718</v>
      </c>
      <c r="D71" s="22" t="n">
        <v>49947.3235797756</v>
      </c>
      <c r="E71" s="22" t="n">
        <v>68383.880108023</v>
      </c>
    </row>
    <row r="72" customFormat="false" ht="15" hidden="false" customHeight="false" outlineLevel="0" collapsed="false">
      <c r="A72" s="16" t="n">
        <v>45931</v>
      </c>
      <c r="B72" s="17" t="s">
        <v>78</v>
      </c>
      <c r="C72" s="18" t="n">
        <v>164202.511690717</v>
      </c>
      <c r="D72" s="18" t="n">
        <v>162924.463199103</v>
      </c>
      <c r="E72" s="18" t="n">
        <v>167402.118948039</v>
      </c>
    </row>
    <row r="73" customFormat="false" ht="15" hidden="false" customHeight="false" outlineLevel="0" collapsed="false">
      <c r="A73" s="20" t="n">
        <v>45931</v>
      </c>
      <c r="B73" s="21" t="s">
        <v>79</v>
      </c>
      <c r="C73" s="22" t="n">
        <v>87267.3489761892</v>
      </c>
      <c r="D73" s="22" t="n">
        <v>65003.4160593923</v>
      </c>
      <c r="E73" s="22" t="n">
        <v>98076.2701704225</v>
      </c>
    </row>
    <row r="74" customFormat="false" ht="15" hidden="false" customHeight="false" outlineLevel="0" collapsed="false">
      <c r="A74" s="16" t="n">
        <v>45931</v>
      </c>
      <c r="B74" s="17" t="s">
        <v>80</v>
      </c>
      <c r="C74" s="18" t="n">
        <v>109009.587444051</v>
      </c>
      <c r="D74" s="18" t="n">
        <v>87557.6060638782</v>
      </c>
      <c r="E74" s="18" t="n">
        <v>123405.849217334</v>
      </c>
    </row>
    <row r="75" customFormat="false" ht="15" hidden="false" customHeight="false" outlineLevel="0" collapsed="false">
      <c r="A75" s="20" t="n">
        <v>45931</v>
      </c>
      <c r="B75" s="21" t="s">
        <v>81</v>
      </c>
      <c r="C75" s="22" t="n">
        <v>85190.8190096979</v>
      </c>
      <c r="D75" s="22" t="n">
        <v>65774.9220519449</v>
      </c>
      <c r="E75" s="22" t="n">
        <v>96857.435107633</v>
      </c>
    </row>
    <row r="76" customFormat="false" ht="15" hidden="false" customHeight="false" outlineLevel="0" collapsed="false">
      <c r="A76" s="16" t="n">
        <v>45962</v>
      </c>
      <c r="B76" s="17" t="s">
        <v>75</v>
      </c>
      <c r="C76" s="18" t="n">
        <v>170043.122398734</v>
      </c>
      <c r="D76" s="18" t="n">
        <v>130034.203482296</v>
      </c>
      <c r="E76" s="18" t="n">
        <v>194390.313347073</v>
      </c>
    </row>
    <row r="77" customFormat="false" ht="15" hidden="false" customHeight="false" outlineLevel="0" collapsed="false">
      <c r="A77" s="20" t="n">
        <v>45962</v>
      </c>
      <c r="B77" s="21" t="s">
        <v>76</v>
      </c>
      <c r="C77" s="22" t="n">
        <v>132965.797393518</v>
      </c>
      <c r="D77" s="22" t="n">
        <v>74556.6363604537</v>
      </c>
      <c r="E77" s="22" t="n">
        <v>158295.184371526</v>
      </c>
    </row>
    <row r="78" customFormat="false" ht="15" hidden="false" customHeight="false" outlineLevel="0" collapsed="false">
      <c r="A78" s="16" t="n">
        <v>45962</v>
      </c>
      <c r="B78" s="17" t="s">
        <v>77</v>
      </c>
      <c r="C78" s="18" t="n">
        <v>58841.3899115619</v>
      </c>
      <c r="D78" s="18" t="n">
        <v>47089.6043758778</v>
      </c>
      <c r="E78" s="18" t="n">
        <v>65802.2951333729</v>
      </c>
    </row>
    <row r="79" customFormat="false" ht="15" hidden="false" customHeight="false" outlineLevel="0" collapsed="false">
      <c r="A79" s="20" t="n">
        <v>45962</v>
      </c>
      <c r="B79" s="21" t="s">
        <v>78</v>
      </c>
      <c r="C79" s="22" t="n">
        <v>144469.264071004</v>
      </c>
      <c r="D79" s="22" t="n">
        <v>143095.195766165</v>
      </c>
      <c r="E79" s="22" t="n">
        <v>147611.074437781</v>
      </c>
    </row>
    <row r="80" customFormat="false" ht="15" hidden="false" customHeight="false" outlineLevel="0" collapsed="false">
      <c r="A80" s="16" t="n">
        <v>45962</v>
      </c>
      <c r="B80" s="17" t="s">
        <v>79</v>
      </c>
      <c r="C80" s="18" t="n">
        <v>85378.4664283783</v>
      </c>
      <c r="D80" s="18" t="n">
        <v>65911.3780382069</v>
      </c>
      <c r="E80" s="18" t="n">
        <v>95384.507136796</v>
      </c>
    </row>
    <row r="81" customFormat="false" ht="15" hidden="false" customHeight="false" outlineLevel="0" collapsed="false">
      <c r="A81" s="20" t="n">
        <v>45962</v>
      </c>
      <c r="B81" s="21" t="s">
        <v>80</v>
      </c>
      <c r="C81" s="22" t="n">
        <v>119213.623555724</v>
      </c>
      <c r="D81" s="22" t="n">
        <v>94714.8065868964</v>
      </c>
      <c r="E81" s="22" t="n">
        <v>135350.075808164</v>
      </c>
    </row>
    <row r="82" customFormat="false" ht="15" hidden="false" customHeight="false" outlineLevel="0" collapsed="false">
      <c r="A82" s="16" t="n">
        <v>45962</v>
      </c>
      <c r="B82" s="17" t="s">
        <v>81</v>
      </c>
      <c r="C82" s="18" t="n">
        <v>90806.4504476426</v>
      </c>
      <c r="D82" s="18" t="n">
        <v>68318.8224865486</v>
      </c>
      <c r="E82" s="18" t="n">
        <v>103661.448029425</v>
      </c>
    </row>
    <row r="83" customFormat="false" ht="15" hidden="false" customHeight="false" outlineLevel="0" collapsed="false">
      <c r="A83" s="20" t="n">
        <v>45992</v>
      </c>
      <c r="B83" s="21" t="s">
        <v>75</v>
      </c>
      <c r="C83" s="22" t="n">
        <v>196719.214679928</v>
      </c>
      <c r="D83" s="22" t="n">
        <v>159044.694911396</v>
      </c>
      <c r="E83" s="22" t="n">
        <v>219927.483977731</v>
      </c>
    </row>
    <row r="84" customFormat="false" ht="15" hidden="false" customHeight="false" outlineLevel="0" collapsed="false">
      <c r="A84" s="16" t="n">
        <v>45992</v>
      </c>
      <c r="B84" s="17" t="s">
        <v>76</v>
      </c>
      <c r="C84" s="18" t="n">
        <v>126834.234243472</v>
      </c>
      <c r="D84" s="18" t="n">
        <v>72387.0526997928</v>
      </c>
      <c r="E84" s="18" t="n">
        <v>151140.017362638</v>
      </c>
    </row>
    <row r="85" customFormat="false" ht="15" hidden="false" customHeight="false" outlineLevel="0" collapsed="false">
      <c r="A85" s="20" t="n">
        <v>45992</v>
      </c>
      <c r="B85" s="21" t="s">
        <v>77</v>
      </c>
      <c r="C85" s="22" t="n">
        <v>67374.5644796311</v>
      </c>
      <c r="D85" s="22" t="n">
        <v>53509.9742947286</v>
      </c>
      <c r="E85" s="22" t="n">
        <v>75479.7495084473</v>
      </c>
    </row>
    <row r="86" customFormat="false" ht="15" hidden="false" customHeight="false" outlineLevel="0" collapsed="false">
      <c r="A86" s="16" t="n">
        <v>45992</v>
      </c>
      <c r="B86" s="17" t="s">
        <v>78</v>
      </c>
      <c r="C86" s="18" t="n">
        <v>179764.624751828</v>
      </c>
      <c r="D86" s="18" t="n">
        <v>178090.380947484</v>
      </c>
      <c r="E86" s="18" t="n">
        <v>183337.443842174</v>
      </c>
    </row>
    <row r="87" customFormat="false" ht="15" hidden="false" customHeight="false" outlineLevel="0" collapsed="false">
      <c r="A87" s="20" t="n">
        <v>45992</v>
      </c>
      <c r="B87" s="21" t="s">
        <v>79</v>
      </c>
      <c r="C87" s="22" t="n">
        <v>77821.1707233315</v>
      </c>
      <c r="D87" s="22" t="n">
        <v>61296.946535628</v>
      </c>
      <c r="E87" s="22" t="n">
        <v>86786.8869249598</v>
      </c>
    </row>
    <row r="88" customFormat="false" ht="15" hidden="false" customHeight="false" outlineLevel="0" collapsed="false">
      <c r="A88" s="16" t="n">
        <v>45992</v>
      </c>
      <c r="B88" s="17" t="s">
        <v>80</v>
      </c>
      <c r="C88" s="18" t="n">
        <v>113922.086087832</v>
      </c>
      <c r="D88" s="18" t="n">
        <v>88797.3892101645</v>
      </c>
      <c r="E88" s="18" t="n">
        <v>130059.529998436</v>
      </c>
    </row>
    <row r="89" customFormat="false" ht="15" hidden="false" customHeight="false" outlineLevel="0" collapsed="false">
      <c r="A89" s="20" t="n">
        <v>45992</v>
      </c>
      <c r="B89" s="21" t="s">
        <v>81</v>
      </c>
      <c r="C89" s="22" t="n">
        <v>93942.016957413</v>
      </c>
      <c r="D89" s="22" t="n">
        <v>71996.7955812586</v>
      </c>
      <c r="E89" s="22" t="n">
        <v>106515.12665334</v>
      </c>
    </row>
    <row r="90" customFormat="false" ht="15" hidden="false" customHeight="false" outlineLevel="0" collapsed="false">
      <c r="A90" s="16" t="n">
        <v>46023</v>
      </c>
      <c r="B90" s="17" t="s">
        <v>75</v>
      </c>
      <c r="C90" s="18" t="n">
        <v>198025.434981657</v>
      </c>
      <c r="D90" s="18" t="n">
        <v>169909.163129307</v>
      </c>
      <c r="E90" s="18" t="n">
        <v>216391.29019757</v>
      </c>
    </row>
    <row r="91" customFormat="false" ht="15" hidden="false" customHeight="false" outlineLevel="0" collapsed="false">
      <c r="A91" s="20" t="n">
        <v>46023</v>
      </c>
      <c r="B91" s="21" t="s">
        <v>76</v>
      </c>
      <c r="C91" s="22" t="n">
        <v>102962.322027852</v>
      </c>
      <c r="D91" s="22" t="n">
        <v>57731.5804886935</v>
      </c>
      <c r="E91" s="22" t="n">
        <v>122746.389817414</v>
      </c>
    </row>
    <row r="92" customFormat="false" ht="15" hidden="false" customHeight="false" outlineLevel="0" collapsed="false">
      <c r="A92" s="16" t="n">
        <v>46023</v>
      </c>
      <c r="B92" s="17" t="s">
        <v>77</v>
      </c>
      <c r="C92" s="18" t="n">
        <v>68852.6929279438</v>
      </c>
      <c r="D92" s="18" t="n">
        <v>54855.2846705907</v>
      </c>
      <c r="E92" s="18" t="n">
        <v>77099.2391912827</v>
      </c>
    </row>
    <row r="93" customFormat="false" ht="15" hidden="false" customHeight="false" outlineLevel="0" collapsed="false">
      <c r="A93" s="20" t="n">
        <v>46023</v>
      </c>
      <c r="B93" s="21" t="s">
        <v>78</v>
      </c>
      <c r="C93" s="22" t="n">
        <v>181287.505310914</v>
      </c>
      <c r="D93" s="22" t="n">
        <v>179895.103645552</v>
      </c>
      <c r="E93" s="22" t="n">
        <v>184496.224488582</v>
      </c>
    </row>
    <row r="94" customFormat="false" ht="15" hidden="false" customHeight="false" outlineLevel="0" collapsed="false">
      <c r="A94" s="16" t="n">
        <v>46023</v>
      </c>
      <c r="B94" s="17" t="s">
        <v>79</v>
      </c>
      <c r="C94" s="18" t="n">
        <v>78034.4954924715</v>
      </c>
      <c r="D94" s="18" t="n">
        <v>66027.604542167</v>
      </c>
      <c r="E94" s="18" t="n">
        <v>86195.265168033</v>
      </c>
    </row>
    <row r="95" customFormat="false" ht="15" hidden="false" customHeight="false" outlineLevel="0" collapsed="false">
      <c r="A95" s="20" t="n">
        <v>46023</v>
      </c>
      <c r="B95" s="21" t="s">
        <v>80</v>
      </c>
      <c r="C95" s="22" t="n">
        <v>92404.9374837742</v>
      </c>
      <c r="D95" s="22" t="n">
        <v>70918.155522669</v>
      </c>
      <c r="E95" s="22" t="n">
        <v>106040.717583136</v>
      </c>
    </row>
    <row r="96" customFormat="false" ht="15" hidden="false" customHeight="false" outlineLevel="0" collapsed="false">
      <c r="A96" s="16" t="n">
        <v>46023</v>
      </c>
      <c r="B96" s="17" t="s">
        <v>81</v>
      </c>
      <c r="C96" s="18" t="n">
        <v>83037.6619653142</v>
      </c>
      <c r="D96" s="18" t="n">
        <v>65844.5364416288</v>
      </c>
      <c r="E96" s="18" t="n">
        <v>93982.5188471508</v>
      </c>
    </row>
    <row r="97" customFormat="false" ht="15" hidden="false" customHeight="false" outlineLevel="0" collapsed="false">
      <c r="A97" s="20" t="n">
        <v>46054</v>
      </c>
      <c r="B97" s="21" t="s">
        <v>75</v>
      </c>
      <c r="C97" s="22" t="n">
        <v>172349.583489418</v>
      </c>
      <c r="D97" s="22" t="n">
        <v>144154.5600361</v>
      </c>
      <c r="E97" s="22" t="n">
        <v>190284.295043617</v>
      </c>
    </row>
    <row r="98" customFormat="false" ht="15" hidden="false" customHeight="false" outlineLevel="0" collapsed="false">
      <c r="A98" s="16" t="n">
        <v>46054</v>
      </c>
      <c r="B98" s="17" t="s">
        <v>76</v>
      </c>
      <c r="C98" s="18" t="n">
        <v>93784.6565146211</v>
      </c>
      <c r="D98" s="18" t="n">
        <v>49994.1531780803</v>
      </c>
      <c r="E98" s="18" t="n">
        <v>112347.334803324</v>
      </c>
    </row>
    <row r="99" customFormat="false" ht="15" hidden="false" customHeight="false" outlineLevel="0" collapsed="false">
      <c r="A99" s="20" t="n">
        <v>46054</v>
      </c>
      <c r="B99" s="21" t="s">
        <v>77</v>
      </c>
      <c r="C99" s="22" t="n">
        <v>64577.3672237576</v>
      </c>
      <c r="D99" s="22" t="n">
        <v>51930.5607425161</v>
      </c>
      <c r="E99" s="22" t="n">
        <v>72157.4016844735</v>
      </c>
    </row>
    <row r="100" customFormat="false" ht="15" hidden="false" customHeight="false" outlineLevel="0" collapsed="false">
      <c r="A100" s="16" t="n">
        <v>46054</v>
      </c>
      <c r="B100" s="17" t="s">
        <v>78</v>
      </c>
      <c r="C100" s="18" t="n">
        <v>145215.402928758</v>
      </c>
      <c r="D100" s="18" t="n">
        <v>143681.337683634</v>
      </c>
      <c r="E100" s="18" t="n">
        <v>148333.404861194</v>
      </c>
    </row>
    <row r="101" customFormat="false" ht="15" hidden="false" customHeight="false" outlineLevel="0" collapsed="false">
      <c r="A101" s="20" t="n">
        <v>46054</v>
      </c>
      <c r="B101" s="21" t="s">
        <v>79</v>
      </c>
      <c r="C101" s="22" t="n">
        <v>67682.0376451216</v>
      </c>
      <c r="D101" s="22" t="n">
        <v>56172.110277769</v>
      </c>
      <c r="E101" s="22" t="n">
        <v>75315.4439642645</v>
      </c>
    </row>
    <row r="102" customFormat="false" ht="15" hidden="false" customHeight="false" outlineLevel="0" collapsed="false">
      <c r="A102" s="16" t="n">
        <v>46054</v>
      </c>
      <c r="B102" s="17" t="s">
        <v>80</v>
      </c>
      <c r="C102" s="18" t="n">
        <v>87466.7318819601</v>
      </c>
      <c r="D102" s="18" t="n">
        <v>66130.5347661931</v>
      </c>
      <c r="E102" s="18" t="n">
        <v>101117.962593766</v>
      </c>
    </row>
    <row r="103" customFormat="false" ht="15" hidden="false" customHeight="false" outlineLevel="0" collapsed="false">
      <c r="A103" s="20" t="n">
        <v>46054</v>
      </c>
      <c r="B103" s="21" t="s">
        <v>81</v>
      </c>
      <c r="C103" s="22" t="n">
        <v>77358.6495100386</v>
      </c>
      <c r="D103" s="22" t="n">
        <v>61960.4040024002</v>
      </c>
      <c r="E103" s="22" t="n">
        <v>87825.2640376817</v>
      </c>
    </row>
    <row r="104" customFormat="false" ht="15" hidden="false" customHeight="false" outlineLevel="0" collapsed="false">
      <c r="A104" s="16" t="n">
        <v>46082</v>
      </c>
      <c r="B104" s="17" t="s">
        <v>75</v>
      </c>
      <c r="C104" s="18" t="n">
        <v>207714.891818337</v>
      </c>
      <c r="D104" s="18" t="n">
        <v>177468.355553214</v>
      </c>
      <c r="E104" s="18" t="n">
        <v>227637.351753504</v>
      </c>
    </row>
    <row r="105" customFormat="false" ht="15" hidden="false" customHeight="false" outlineLevel="0" collapsed="false">
      <c r="A105" s="20" t="n">
        <v>46082</v>
      </c>
      <c r="B105" s="21" t="s">
        <v>76</v>
      </c>
      <c r="C105" s="22" t="n">
        <v>107075.445180782</v>
      </c>
      <c r="D105" s="22" t="n">
        <v>59140.7254981333</v>
      </c>
      <c r="E105" s="22" t="n">
        <v>127710.023800526</v>
      </c>
    </row>
    <row r="106" customFormat="false" ht="15" hidden="false" customHeight="false" outlineLevel="0" collapsed="false">
      <c r="A106" s="16" t="n">
        <v>46082</v>
      </c>
      <c r="B106" s="17" t="s">
        <v>77</v>
      </c>
      <c r="C106" s="18" t="n">
        <v>74857.5748555818</v>
      </c>
      <c r="D106" s="18" t="n">
        <v>63181.672288118</v>
      </c>
      <c r="E106" s="18" t="n">
        <v>82531.1937999319</v>
      </c>
    </row>
    <row r="107" customFormat="false" ht="15" hidden="false" customHeight="false" outlineLevel="0" collapsed="false">
      <c r="A107" s="20" t="n">
        <v>46082</v>
      </c>
      <c r="B107" s="21" t="s">
        <v>78</v>
      </c>
      <c r="C107" s="22" t="n">
        <v>219042.945320916</v>
      </c>
      <c r="D107" s="22" t="n">
        <v>217498.996843166</v>
      </c>
      <c r="E107" s="22" t="n">
        <v>222594.024889829</v>
      </c>
    </row>
    <row r="108" customFormat="false" ht="15" hidden="false" customHeight="false" outlineLevel="0" collapsed="false">
      <c r="A108" s="16" t="n">
        <v>46082</v>
      </c>
      <c r="B108" s="17" t="s">
        <v>79</v>
      </c>
      <c r="C108" s="18" t="n">
        <v>74464.0145383124</v>
      </c>
      <c r="D108" s="18" t="n">
        <v>60471.9545602836</v>
      </c>
      <c r="E108" s="18" t="n">
        <v>83173.8922312797</v>
      </c>
    </row>
    <row r="109" customFormat="false" ht="15" hidden="false" customHeight="false" outlineLevel="0" collapsed="false">
      <c r="A109" s="20" t="n">
        <v>46082</v>
      </c>
      <c r="B109" s="21" t="s">
        <v>80</v>
      </c>
      <c r="C109" s="22" t="n">
        <v>100600.740739173</v>
      </c>
      <c r="D109" s="22" t="n">
        <v>77591.914176388</v>
      </c>
      <c r="E109" s="22" t="n">
        <v>115434.562572963</v>
      </c>
    </row>
    <row r="110" customFormat="false" ht="15" hidden="false" customHeight="false" outlineLevel="0" collapsed="false">
      <c r="A110" s="16" t="n">
        <v>46082</v>
      </c>
      <c r="B110" s="17" t="s">
        <v>81</v>
      </c>
      <c r="C110" s="18" t="n">
        <v>86338.6019182901</v>
      </c>
      <c r="D110" s="18" t="n">
        <v>69572.5198256981</v>
      </c>
      <c r="E110" s="18" t="n">
        <v>98117.1431252243</v>
      </c>
    </row>
    <row r="111" customFormat="false" ht="15" hidden="false" customHeight="false" outlineLevel="0" collapsed="false">
      <c r="A111" s="20" t="n">
        <v>46113</v>
      </c>
      <c r="B111" s="21" t="s">
        <v>75</v>
      </c>
      <c r="C111" s="22" t="n">
        <v>215101.334819773</v>
      </c>
      <c r="D111" s="22" t="n">
        <v>186553.994062393</v>
      </c>
      <c r="E111" s="22" t="n">
        <v>233824.593508012</v>
      </c>
    </row>
    <row r="112" customFormat="false" ht="15" hidden="false" customHeight="false" outlineLevel="0" collapsed="false">
      <c r="A112" s="16" t="n">
        <v>46113</v>
      </c>
      <c r="B112" s="17" t="s">
        <v>76</v>
      </c>
      <c r="C112" s="18" t="n">
        <v>99504.5953470621</v>
      </c>
      <c r="D112" s="18" t="n">
        <v>59315.5285240734</v>
      </c>
      <c r="E112" s="18" t="n">
        <v>117975.136632771</v>
      </c>
    </row>
    <row r="113" customFormat="false" ht="15" hidden="false" customHeight="false" outlineLevel="0" collapsed="false">
      <c r="A113" s="20" t="n">
        <v>46113</v>
      </c>
      <c r="B113" s="21" t="s">
        <v>77</v>
      </c>
      <c r="C113" s="22" t="n">
        <v>78120.4239153631</v>
      </c>
      <c r="D113" s="22" t="n">
        <v>65624.4762888484</v>
      </c>
      <c r="E113" s="22" t="n">
        <v>86167.5982986616</v>
      </c>
    </row>
    <row r="114" customFormat="false" ht="15" hidden="false" customHeight="false" outlineLevel="0" collapsed="false">
      <c r="A114" s="16" t="n">
        <v>46113</v>
      </c>
      <c r="B114" s="17" t="s">
        <v>78</v>
      </c>
      <c r="C114" s="18" t="n">
        <v>239549.439585107</v>
      </c>
      <c r="D114" s="18" t="n">
        <v>238046.636058379</v>
      </c>
      <c r="E114" s="18" t="n">
        <v>243206.158995819</v>
      </c>
    </row>
    <row r="115" customFormat="false" ht="15" hidden="false" customHeight="false" outlineLevel="0" collapsed="false">
      <c r="A115" s="20" t="n">
        <v>46113</v>
      </c>
      <c r="B115" s="21" t="s">
        <v>79</v>
      </c>
      <c r="C115" s="22" t="n">
        <v>72718.1095108863</v>
      </c>
      <c r="D115" s="22" t="n">
        <v>58953.9225224515</v>
      </c>
      <c r="E115" s="22" t="n">
        <v>81202.7905960195</v>
      </c>
    </row>
    <row r="116" customFormat="false" ht="15" hidden="false" customHeight="false" outlineLevel="0" collapsed="false">
      <c r="A116" s="16" t="n">
        <v>46113</v>
      </c>
      <c r="B116" s="17" t="s">
        <v>80</v>
      </c>
      <c r="C116" s="18" t="n">
        <v>94561.9202840399</v>
      </c>
      <c r="D116" s="18" t="n">
        <v>73870.1335701645</v>
      </c>
      <c r="E116" s="18" t="n">
        <v>107994.432342613</v>
      </c>
    </row>
    <row r="117" customFormat="false" ht="15" hidden="false" customHeight="false" outlineLevel="0" collapsed="false">
      <c r="A117" s="20" t="n">
        <v>46113</v>
      </c>
      <c r="B117" s="21" t="s">
        <v>81</v>
      </c>
      <c r="C117" s="22" t="n">
        <v>81252.9155873846</v>
      </c>
      <c r="D117" s="22" t="n">
        <v>65681.1378667741</v>
      </c>
      <c r="E117" s="22" t="n">
        <v>92140.1449320718</v>
      </c>
    </row>
    <row r="118" customFormat="false" ht="15" hidden="false" customHeight="false" outlineLevel="0" collapsed="false">
      <c r="A118" s="16" t="n">
        <v>46143</v>
      </c>
      <c r="B118" s="17" t="s">
        <v>75</v>
      </c>
      <c r="C118" s="18" t="n">
        <v>199289.574781579</v>
      </c>
      <c r="D118" s="18" t="n">
        <v>170889.311629329</v>
      </c>
      <c r="E118" s="18" t="n">
        <v>217812.369299565</v>
      </c>
    </row>
    <row r="119" customFormat="false" ht="15" hidden="false" customHeight="false" outlineLevel="0" collapsed="false">
      <c r="A119" s="20" t="n">
        <v>46143</v>
      </c>
      <c r="B119" s="21" t="s">
        <v>76</v>
      </c>
      <c r="C119" s="22" t="n">
        <v>107902.815874817</v>
      </c>
      <c r="D119" s="22" t="n">
        <v>64953.9445134762</v>
      </c>
      <c r="E119" s="22" t="n">
        <v>127599.866528486</v>
      </c>
    </row>
    <row r="120" customFormat="false" ht="15" hidden="false" customHeight="false" outlineLevel="0" collapsed="false">
      <c r="A120" s="16" t="n">
        <v>46143</v>
      </c>
      <c r="B120" s="17" t="s">
        <v>77</v>
      </c>
      <c r="C120" s="18" t="n">
        <v>79901.8988019935</v>
      </c>
      <c r="D120" s="18" t="n">
        <v>66706.3584689355</v>
      </c>
      <c r="E120" s="18" t="n">
        <v>88272.9796581223</v>
      </c>
    </row>
    <row r="121" customFormat="false" ht="15" hidden="false" customHeight="false" outlineLevel="0" collapsed="false">
      <c r="A121" s="20" t="n">
        <v>46143</v>
      </c>
      <c r="B121" s="21" t="s">
        <v>78</v>
      </c>
      <c r="C121" s="22" t="n">
        <v>182830.560650403</v>
      </c>
      <c r="D121" s="22" t="n">
        <v>181371.460302344</v>
      </c>
      <c r="E121" s="22" t="n">
        <v>186471.752879551</v>
      </c>
    </row>
    <row r="122" customFormat="false" ht="15" hidden="false" customHeight="false" outlineLevel="0" collapsed="false">
      <c r="A122" s="16" t="n">
        <v>46143</v>
      </c>
      <c r="B122" s="17" t="s">
        <v>79</v>
      </c>
      <c r="C122" s="18" t="n">
        <v>77319.3466343484</v>
      </c>
      <c r="D122" s="18" t="n">
        <v>62572.9189830103</v>
      </c>
      <c r="E122" s="18" t="n">
        <v>86568.1243658172</v>
      </c>
    </row>
    <row r="123" customFormat="false" ht="15" hidden="false" customHeight="false" outlineLevel="0" collapsed="false">
      <c r="A123" s="20" t="n">
        <v>46143</v>
      </c>
      <c r="B123" s="21" t="s">
        <v>80</v>
      </c>
      <c r="C123" s="22" t="n">
        <v>102550.649763231</v>
      </c>
      <c r="D123" s="22" t="n">
        <v>82349.3497851337</v>
      </c>
      <c r="E123" s="22" t="n">
        <v>115975.66721711</v>
      </c>
    </row>
    <row r="124" customFormat="false" ht="15" hidden="false" customHeight="false" outlineLevel="0" collapsed="false">
      <c r="A124" s="16" t="n">
        <v>46143</v>
      </c>
      <c r="B124" s="17" t="s">
        <v>81</v>
      </c>
      <c r="C124" s="18" t="n">
        <v>87225.1646952138</v>
      </c>
      <c r="D124" s="18" t="n">
        <v>71175.9956306126</v>
      </c>
      <c r="E124" s="18" t="n">
        <v>98652.2463236026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3"/>
    <col collapsed="false" customWidth="true" hidden="false" outlineLevel="0" max="4" min="4" style="0" width="24"/>
    <col collapsed="false" customWidth="true" hidden="false" outlineLevel="0" max="5" min="5" style="0" width="12"/>
    <col collapsed="false" customWidth="true" hidden="false" outlineLevel="0" max="6" min="6" style="0" width="10"/>
    <col collapsed="false" customWidth="true" hidden="false" outlineLevel="0" max="7" min="7" style="0" width="9"/>
    <col collapsed="false" customWidth="true" hidden="false" outlineLevel="0" max="8" min="8" style="0" width="16"/>
    <col collapsed="false" customWidth="true" hidden="false" outlineLevel="0" max="9" min="9" style="0" width="17"/>
    <col collapsed="false" customWidth="true" hidden="false" outlineLevel="0" max="10" min="10" style="0" width="3"/>
    <col collapsed="false" customWidth="true" hidden="false" outlineLevel="0" max="12" min="12" style="0" width="26"/>
    <col collapsed="false" customWidth="true" hidden="false" outlineLevel="0" max="13" min="13" style="0" width="8"/>
    <col collapsed="false" customWidth="true" hidden="false" outlineLevel="0" max="14" min="14" style="0" width="18"/>
  </cols>
  <sheetData>
    <row r="1" customFormat="false" ht="19.7" hidden="false" customHeight="false" outlineLevel="0" collapsed="false">
      <c r="A1" s="1" t="s">
        <v>84</v>
      </c>
    </row>
    <row r="2" customFormat="false" ht="15" hidden="false" customHeight="false" outlineLevel="0" collapsed="false">
      <c r="A2" s="2" t="s">
        <v>85</v>
      </c>
    </row>
    <row r="3" customFormat="false" ht="15" hidden="false" customHeight="false" outlineLevel="0" collapsed="false">
      <c r="A3" s="3" t="s">
        <v>2</v>
      </c>
    </row>
    <row r="4" customFormat="false" ht="15" hidden="false" customHeight="false" outlineLevel="0" collapsed="false">
      <c r="L4" s="4" t="s">
        <v>86</v>
      </c>
    </row>
    <row r="5" customFormat="false" ht="30" hidden="false" customHeight="true" outlineLevel="0" collapsed="false">
      <c r="A5" s="6" t="s">
        <v>87</v>
      </c>
      <c r="B5" s="6" t="s">
        <v>88</v>
      </c>
      <c r="C5" s="6" t="s">
        <v>70</v>
      </c>
      <c r="D5" s="6" t="s">
        <v>89</v>
      </c>
      <c r="E5" s="6" t="s">
        <v>90</v>
      </c>
      <c r="F5" s="6" t="s">
        <v>91</v>
      </c>
      <c r="G5" s="6" t="s">
        <v>92</v>
      </c>
      <c r="H5" s="6" t="s">
        <v>93</v>
      </c>
      <c r="I5" s="6" t="s">
        <v>94</v>
      </c>
      <c r="L5" s="6" t="s">
        <v>89</v>
      </c>
      <c r="M5" s="6" t="s">
        <v>95</v>
      </c>
      <c r="N5" s="6" t="s">
        <v>94</v>
      </c>
    </row>
    <row r="6" customFormat="false" ht="15" hidden="false" customHeight="false" outlineLevel="0" collapsed="false">
      <c r="A6" s="0" t="s">
        <v>96</v>
      </c>
      <c r="B6" s="0" t="s">
        <v>97</v>
      </c>
      <c r="C6" s="0" t="s">
        <v>80</v>
      </c>
      <c r="D6" s="0" t="s">
        <v>98</v>
      </c>
      <c r="E6" s="24" t="n">
        <v>45779</v>
      </c>
      <c r="F6" s="25" t="n">
        <v>2.3954552231312</v>
      </c>
      <c r="G6" s="0" t="n">
        <v>40</v>
      </c>
      <c r="H6" s="18" t="n">
        <v>125.346347869202</v>
      </c>
      <c r="I6" s="18" t="n">
        <f aca="false">H6*365</f>
        <v>45751.4169722588</v>
      </c>
      <c r="L6" s="17" t="s">
        <v>99</v>
      </c>
      <c r="M6" s="17" t="n">
        <f aca="false">COUNTIF($D$6:$D$122,L6)</f>
        <v>20</v>
      </c>
      <c r="N6" s="18" t="n">
        <f aca="false">SUMIF($D$6:$D$122,L6,$I$6:$I$122)</f>
        <v>724939.68192172</v>
      </c>
    </row>
    <row r="7" customFormat="false" ht="15" hidden="false" customHeight="false" outlineLevel="0" collapsed="false">
      <c r="A7" s="21" t="s">
        <v>100</v>
      </c>
      <c r="B7" s="21" t="s">
        <v>101</v>
      </c>
      <c r="C7" s="21" t="s">
        <v>78</v>
      </c>
      <c r="D7" s="21" t="s">
        <v>98</v>
      </c>
      <c r="E7" s="26" t="n">
        <v>45793</v>
      </c>
      <c r="F7" s="27" t="n">
        <v>0.711976221019488</v>
      </c>
      <c r="G7" s="21" t="n">
        <v>40</v>
      </c>
      <c r="H7" s="22" t="n">
        <v>20.0565451165542</v>
      </c>
      <c r="I7" s="22" t="n">
        <f aca="false">H7*365</f>
        <v>7320.63896754227</v>
      </c>
      <c r="L7" s="17" t="s">
        <v>102</v>
      </c>
      <c r="M7" s="17" t="n">
        <f aca="false">COUNTIF($D$6:$D$122,L7)</f>
        <v>14</v>
      </c>
      <c r="N7" s="18" t="n">
        <f aca="false">SUMIF($D$6:$D$122,L7,$I$6:$I$122)</f>
        <v>408333.094319985</v>
      </c>
    </row>
    <row r="8" customFormat="false" ht="15" hidden="false" customHeight="false" outlineLevel="0" collapsed="false">
      <c r="A8" s="0" t="s">
        <v>103</v>
      </c>
      <c r="B8" s="0" t="s">
        <v>104</v>
      </c>
      <c r="C8" s="0" t="s">
        <v>79</v>
      </c>
      <c r="D8" s="0" t="s">
        <v>99</v>
      </c>
      <c r="E8" s="24" t="n">
        <v>45793</v>
      </c>
      <c r="F8" s="25" t="n">
        <v>2.76940558819592</v>
      </c>
      <c r="G8" s="0" t="n">
        <v>40</v>
      </c>
      <c r="H8" s="18" t="n">
        <v>8.84298333284784</v>
      </c>
      <c r="I8" s="18" t="n">
        <f aca="false">H8*365</f>
        <v>3227.68891648946</v>
      </c>
      <c r="L8" s="17" t="s">
        <v>98</v>
      </c>
      <c r="M8" s="17" t="n">
        <f aca="false">COUNTIF($D$6:$D$122,L8)</f>
        <v>17</v>
      </c>
      <c r="N8" s="18" t="n">
        <f aca="false">SUMIF($D$6:$D$122,L8,$I$6:$I$122)</f>
        <v>514985.117669954</v>
      </c>
    </row>
    <row r="9" customFormat="false" ht="15" hidden="false" customHeight="false" outlineLevel="0" collapsed="false">
      <c r="A9" s="21" t="s">
        <v>105</v>
      </c>
      <c r="B9" s="21" t="s">
        <v>106</v>
      </c>
      <c r="C9" s="21" t="s">
        <v>79</v>
      </c>
      <c r="D9" s="21" t="s">
        <v>99</v>
      </c>
      <c r="E9" s="26" t="n">
        <v>45793</v>
      </c>
      <c r="F9" s="27" t="n">
        <v>0.720233527885913</v>
      </c>
      <c r="G9" s="21" t="n">
        <v>40</v>
      </c>
      <c r="H9" s="22" t="n">
        <v>47.1640196674807</v>
      </c>
      <c r="I9" s="22" t="n">
        <f aca="false">H9*365</f>
        <v>17214.8671786304</v>
      </c>
      <c r="L9" s="17" t="s">
        <v>107</v>
      </c>
      <c r="M9" s="17" t="n">
        <f aca="false">COUNTIF($D$6:$D$122,L9)</f>
        <v>13</v>
      </c>
      <c r="N9" s="18" t="n">
        <f aca="false">SUMIF($D$6:$D$122,L9,$I$6:$I$122)</f>
        <v>497301.629639835</v>
      </c>
    </row>
    <row r="10" customFormat="false" ht="15" hidden="false" customHeight="false" outlineLevel="0" collapsed="false">
      <c r="A10" s="0" t="s">
        <v>108</v>
      </c>
      <c r="B10" s="0" t="s">
        <v>109</v>
      </c>
      <c r="C10" s="0" t="s">
        <v>76</v>
      </c>
      <c r="D10" s="0" t="s">
        <v>107</v>
      </c>
      <c r="E10" s="24" t="n">
        <v>45797</v>
      </c>
      <c r="F10" s="25" t="n">
        <v>0.70693398269045</v>
      </c>
      <c r="G10" s="0" t="n">
        <v>40</v>
      </c>
      <c r="H10" s="18" t="n">
        <v>66.6631078058442</v>
      </c>
      <c r="I10" s="18" t="n">
        <f aca="false">H10*365</f>
        <v>24332.0343491331</v>
      </c>
      <c r="L10" s="17" t="s">
        <v>110</v>
      </c>
      <c r="M10" s="17" t="n">
        <f aca="false">COUNTIF($D$6:$D$122,L10)</f>
        <v>17</v>
      </c>
      <c r="N10" s="18" t="n">
        <f aca="false">SUMIF($D$6:$D$122,L10,$I$6:$I$122)</f>
        <v>831654.426366429</v>
      </c>
    </row>
    <row r="11" customFormat="false" ht="15" hidden="false" customHeight="false" outlineLevel="0" collapsed="false">
      <c r="A11" s="21" t="s">
        <v>111</v>
      </c>
      <c r="B11" s="21" t="s">
        <v>112</v>
      </c>
      <c r="C11" s="21" t="s">
        <v>76</v>
      </c>
      <c r="D11" s="21" t="s">
        <v>99</v>
      </c>
      <c r="E11" s="26" t="n">
        <v>45801</v>
      </c>
      <c r="F11" s="27" t="n">
        <v>0.632106921557439</v>
      </c>
      <c r="G11" s="21" t="n">
        <v>40</v>
      </c>
      <c r="H11" s="22" t="n">
        <v>182.716826640087</v>
      </c>
      <c r="I11" s="22" t="n">
        <f aca="false">H11*365</f>
        <v>66691.6417236318</v>
      </c>
      <c r="L11" s="17" t="s">
        <v>113</v>
      </c>
      <c r="M11" s="17" t="n">
        <f aca="false">COUNTIF($D$6:$D$122,L11)</f>
        <v>14</v>
      </c>
      <c r="N11" s="18" t="n">
        <f aca="false">SUMIF($D$6:$D$122,L11,$I$6:$I$122)</f>
        <v>409554.867887847</v>
      </c>
    </row>
    <row r="12" customFormat="false" ht="15" hidden="false" customHeight="false" outlineLevel="0" collapsed="false">
      <c r="A12" s="0" t="s">
        <v>114</v>
      </c>
      <c r="B12" s="0" t="s">
        <v>115</v>
      </c>
      <c r="C12" s="0" t="s">
        <v>79</v>
      </c>
      <c r="D12" s="0" t="s">
        <v>116</v>
      </c>
      <c r="E12" s="24" t="n">
        <v>45801</v>
      </c>
      <c r="F12" s="25" t="n">
        <v>0.71166162961585</v>
      </c>
      <c r="G12" s="0" t="n">
        <v>40</v>
      </c>
      <c r="H12" s="18" t="n">
        <v>24.7510564632026</v>
      </c>
      <c r="I12" s="18" t="n">
        <f aca="false">H12*365</f>
        <v>9034.13560906895</v>
      </c>
      <c r="L12" s="17" t="s">
        <v>117</v>
      </c>
      <c r="M12" s="17" t="n">
        <f aca="false">COUNTIF($D$6:$D$122,L12)</f>
        <v>12</v>
      </c>
      <c r="N12" s="18" t="n">
        <f aca="false">SUMIF($D$6:$D$122,L12,$I$6:$I$122)</f>
        <v>403691.312475114</v>
      </c>
    </row>
    <row r="13" customFormat="false" ht="15" hidden="false" customHeight="false" outlineLevel="0" collapsed="false">
      <c r="A13" s="21" t="s">
        <v>118</v>
      </c>
      <c r="B13" s="21" t="s">
        <v>119</v>
      </c>
      <c r="C13" s="21" t="s">
        <v>77</v>
      </c>
      <c r="D13" s="21" t="s">
        <v>102</v>
      </c>
      <c r="E13" s="26" t="n">
        <v>45805</v>
      </c>
      <c r="F13" s="27" t="n">
        <v>0.892018223735652</v>
      </c>
      <c r="G13" s="21" t="n">
        <v>40</v>
      </c>
      <c r="H13" s="22" t="n">
        <v>64.2791364938584</v>
      </c>
      <c r="I13" s="22" t="n">
        <f aca="false">H13*365</f>
        <v>23461.8848202583</v>
      </c>
      <c r="L13" s="17" t="s">
        <v>116</v>
      </c>
      <c r="M13" s="17" t="n">
        <f aca="false">COUNTIF($D$6:$D$122,L13)</f>
        <v>10</v>
      </c>
      <c r="N13" s="18" t="n">
        <f aca="false">SUMIF($D$6:$D$122,L13,$I$6:$I$122)</f>
        <v>334141.691502936</v>
      </c>
    </row>
    <row r="14" customFormat="false" ht="15" hidden="false" customHeight="false" outlineLevel="0" collapsed="false">
      <c r="A14" s="0" t="s">
        <v>120</v>
      </c>
      <c r="B14" s="0" t="s">
        <v>121</v>
      </c>
      <c r="C14" s="0" t="s">
        <v>75</v>
      </c>
      <c r="D14" s="0" t="s">
        <v>110</v>
      </c>
      <c r="E14" s="24" t="n">
        <v>45808</v>
      </c>
      <c r="F14" s="25" t="n">
        <v>0.883041882409139</v>
      </c>
      <c r="G14" s="0" t="n">
        <v>40</v>
      </c>
      <c r="H14" s="18" t="n">
        <v>445.07706110917</v>
      </c>
      <c r="I14" s="18" t="n">
        <f aca="false">H14*365</f>
        <v>162453.127304847</v>
      </c>
      <c r="L14" s="9" t="s">
        <v>82</v>
      </c>
      <c r="M14" s="9" t="n">
        <f aca="false">SUM(M6:M13)</f>
        <v>117</v>
      </c>
      <c r="N14" s="19" t="n">
        <f aca="false">SUM(N6:N13)</f>
        <v>4124601.82178382</v>
      </c>
    </row>
    <row r="15" customFormat="false" ht="15" hidden="false" customHeight="false" outlineLevel="0" collapsed="false">
      <c r="A15" s="21" t="s">
        <v>122</v>
      </c>
      <c r="B15" s="21" t="s">
        <v>123</v>
      </c>
      <c r="C15" s="21" t="s">
        <v>80</v>
      </c>
      <c r="D15" s="21" t="s">
        <v>107</v>
      </c>
      <c r="E15" s="26" t="n">
        <v>45815</v>
      </c>
      <c r="F15" s="27" t="n">
        <v>0.659983593506052</v>
      </c>
      <c r="G15" s="21" t="n">
        <v>40</v>
      </c>
      <c r="H15" s="22" t="n">
        <v>47.8779218186666</v>
      </c>
      <c r="I15" s="22" t="n">
        <f aca="false">H15*365</f>
        <v>17475.4414638133</v>
      </c>
    </row>
    <row r="16" customFormat="false" ht="15" hidden="false" customHeight="false" outlineLevel="0" collapsed="false">
      <c r="A16" s="0" t="s">
        <v>124</v>
      </c>
      <c r="B16" s="0" t="s">
        <v>125</v>
      </c>
      <c r="C16" s="0" t="s">
        <v>75</v>
      </c>
      <c r="D16" s="0" t="s">
        <v>102</v>
      </c>
      <c r="E16" s="24" t="n">
        <v>45822</v>
      </c>
      <c r="F16" s="25" t="n">
        <v>0.443011922620703</v>
      </c>
      <c r="G16" s="0" t="n">
        <v>40</v>
      </c>
      <c r="H16" s="18" t="n">
        <v>23.3122125932554</v>
      </c>
      <c r="I16" s="18" t="n">
        <f aca="false">H16*365</f>
        <v>8508.95759653821</v>
      </c>
      <c r="L16" s="2" t="s">
        <v>126</v>
      </c>
    </row>
    <row r="17" customFormat="false" ht="15" hidden="false" customHeight="false" outlineLevel="0" collapsed="false">
      <c r="A17" s="21" t="s">
        <v>127</v>
      </c>
      <c r="B17" s="21" t="s">
        <v>128</v>
      </c>
      <c r="C17" s="21" t="s">
        <v>75</v>
      </c>
      <c r="D17" s="21" t="s">
        <v>117</v>
      </c>
      <c r="E17" s="26" t="n">
        <v>45824</v>
      </c>
      <c r="F17" s="27" t="n">
        <v>2.67640132496186</v>
      </c>
      <c r="G17" s="21" t="n">
        <v>40</v>
      </c>
      <c r="H17" s="22" t="n">
        <v>2.10842403577472</v>
      </c>
      <c r="I17" s="22" t="n">
        <f aca="false">H17*365</f>
        <v>769.574773057772</v>
      </c>
    </row>
    <row r="18" customFormat="false" ht="15" hidden="false" customHeight="false" outlineLevel="0" collapsed="false">
      <c r="A18" s="0" t="s">
        <v>129</v>
      </c>
      <c r="B18" s="0" t="s">
        <v>130</v>
      </c>
      <c r="C18" s="0" t="s">
        <v>80</v>
      </c>
      <c r="D18" s="0" t="s">
        <v>117</v>
      </c>
      <c r="E18" s="24" t="n">
        <v>45825</v>
      </c>
      <c r="F18" s="25" t="n">
        <v>0.797365584031736</v>
      </c>
      <c r="G18" s="0" t="n">
        <v>40</v>
      </c>
      <c r="H18" s="18" t="n">
        <v>98.7295414734821</v>
      </c>
      <c r="I18" s="18" t="n">
        <f aca="false">H18*365</f>
        <v>36036.282637821</v>
      </c>
    </row>
    <row r="19" customFormat="false" ht="15" hidden="false" customHeight="false" outlineLevel="0" collapsed="false">
      <c r="A19" s="21" t="s">
        <v>131</v>
      </c>
      <c r="B19" s="21" t="s">
        <v>132</v>
      </c>
      <c r="C19" s="21" t="s">
        <v>79</v>
      </c>
      <c r="D19" s="21" t="s">
        <v>107</v>
      </c>
      <c r="E19" s="26" t="n">
        <v>45826</v>
      </c>
      <c r="F19" s="27" t="n">
        <v>0.652517753254168</v>
      </c>
      <c r="G19" s="21" t="n">
        <v>40</v>
      </c>
      <c r="H19" s="22" t="n">
        <v>58.5615769279745</v>
      </c>
      <c r="I19" s="22" t="n">
        <f aca="false">H19*365</f>
        <v>21374.9755787107</v>
      </c>
    </row>
    <row r="20" customFormat="false" ht="15" hidden="false" customHeight="false" outlineLevel="0" collapsed="false">
      <c r="A20" s="0" t="s">
        <v>133</v>
      </c>
      <c r="B20" s="0" t="s">
        <v>134</v>
      </c>
      <c r="C20" s="0" t="s">
        <v>75</v>
      </c>
      <c r="D20" s="0" t="s">
        <v>107</v>
      </c>
      <c r="E20" s="24" t="n">
        <v>45828</v>
      </c>
      <c r="F20" s="25" t="n">
        <v>0.690578819009858</v>
      </c>
      <c r="G20" s="0" t="n">
        <v>40</v>
      </c>
      <c r="H20" s="18" t="n">
        <v>448.783421759898</v>
      </c>
      <c r="I20" s="18" t="n">
        <f aca="false">H20*365</f>
        <v>163805.948942363</v>
      </c>
    </row>
    <row r="21" customFormat="false" ht="15" hidden="false" customHeight="false" outlineLevel="0" collapsed="false">
      <c r="A21" s="21" t="s">
        <v>135</v>
      </c>
      <c r="B21" s="21" t="s">
        <v>136</v>
      </c>
      <c r="C21" s="21" t="s">
        <v>77</v>
      </c>
      <c r="D21" s="21" t="s">
        <v>99</v>
      </c>
      <c r="E21" s="26" t="n">
        <v>45828</v>
      </c>
      <c r="F21" s="27" t="n">
        <v>0.553983014978002</v>
      </c>
      <c r="G21" s="21" t="n">
        <v>40</v>
      </c>
      <c r="H21" s="22" t="n">
        <v>193.6523086629</v>
      </c>
      <c r="I21" s="22" t="n">
        <f aca="false">H21*365</f>
        <v>70683.0926619585</v>
      </c>
    </row>
    <row r="22" customFormat="false" ht="15" hidden="false" customHeight="false" outlineLevel="0" collapsed="false">
      <c r="A22" s="0" t="s">
        <v>137</v>
      </c>
      <c r="B22" s="0" t="s">
        <v>138</v>
      </c>
      <c r="C22" s="0" t="s">
        <v>75</v>
      </c>
      <c r="D22" s="0" t="s">
        <v>113</v>
      </c>
      <c r="E22" s="24" t="n">
        <v>45831</v>
      </c>
      <c r="F22" s="25" t="n">
        <v>0.687101468317591</v>
      </c>
      <c r="G22" s="0" t="n">
        <v>40</v>
      </c>
      <c r="H22" s="18" t="n">
        <v>8.90174952337138</v>
      </c>
      <c r="I22" s="18" t="n">
        <f aca="false">H22*365</f>
        <v>3249.13857603055</v>
      </c>
    </row>
    <row r="23" customFormat="false" ht="15" hidden="false" customHeight="false" outlineLevel="0" collapsed="false">
      <c r="A23" s="21" t="s">
        <v>139</v>
      </c>
      <c r="B23" s="21" t="s">
        <v>140</v>
      </c>
      <c r="C23" s="21" t="s">
        <v>76</v>
      </c>
      <c r="D23" s="21" t="s">
        <v>98</v>
      </c>
      <c r="E23" s="26" t="n">
        <v>45832</v>
      </c>
      <c r="F23" s="27" t="n">
        <v>0.997999375452786</v>
      </c>
      <c r="G23" s="21" t="n">
        <v>40</v>
      </c>
      <c r="H23" s="22" t="n">
        <v>253.4303806615</v>
      </c>
      <c r="I23" s="22" t="n">
        <f aca="false">H23*365</f>
        <v>92502.0889414474</v>
      </c>
    </row>
    <row r="24" customFormat="false" ht="15" hidden="false" customHeight="false" outlineLevel="0" collapsed="false">
      <c r="A24" s="0" t="s">
        <v>141</v>
      </c>
      <c r="B24" s="0" t="s">
        <v>142</v>
      </c>
      <c r="C24" s="0" t="s">
        <v>76</v>
      </c>
      <c r="D24" s="0" t="s">
        <v>113</v>
      </c>
      <c r="E24" s="24" t="n">
        <v>45841</v>
      </c>
      <c r="F24" s="25" t="n">
        <v>2.43198340182483</v>
      </c>
      <c r="G24" s="0" t="n">
        <v>40</v>
      </c>
      <c r="H24" s="18" t="n">
        <v>14.8842402952969</v>
      </c>
      <c r="I24" s="18" t="n">
        <f aca="false">H24*365</f>
        <v>5432.74770778336</v>
      </c>
    </row>
    <row r="25" customFormat="false" ht="15" hidden="false" customHeight="false" outlineLevel="0" collapsed="false">
      <c r="A25" s="21" t="s">
        <v>143</v>
      </c>
      <c r="B25" s="21" t="s">
        <v>144</v>
      </c>
      <c r="C25" s="21" t="s">
        <v>79</v>
      </c>
      <c r="D25" s="21" t="s">
        <v>107</v>
      </c>
      <c r="E25" s="26" t="n">
        <v>45842</v>
      </c>
      <c r="F25" s="27" t="n">
        <v>0.853251463117779</v>
      </c>
      <c r="G25" s="21" t="n">
        <v>40</v>
      </c>
      <c r="H25" s="22" t="n">
        <v>8.12958743651724</v>
      </c>
      <c r="I25" s="22" t="n">
        <f aca="false">H25*365</f>
        <v>2967.29941432879</v>
      </c>
    </row>
    <row r="26" customFormat="false" ht="15" hidden="false" customHeight="false" outlineLevel="0" collapsed="false">
      <c r="A26" s="0" t="s">
        <v>145</v>
      </c>
      <c r="B26" s="0" t="s">
        <v>146</v>
      </c>
      <c r="C26" s="0" t="s">
        <v>77</v>
      </c>
      <c r="D26" s="0" t="s">
        <v>110</v>
      </c>
      <c r="E26" s="24" t="n">
        <v>45846</v>
      </c>
      <c r="F26" s="25" t="n">
        <v>0.56649970981602</v>
      </c>
      <c r="G26" s="0" t="n">
        <v>40</v>
      </c>
      <c r="H26" s="18" t="n">
        <v>116.101587727125</v>
      </c>
      <c r="I26" s="18" t="n">
        <f aca="false">H26*365</f>
        <v>42377.0795204005</v>
      </c>
    </row>
    <row r="27" customFormat="false" ht="15" hidden="false" customHeight="false" outlineLevel="0" collapsed="false">
      <c r="A27" s="21" t="s">
        <v>147</v>
      </c>
      <c r="B27" s="21" t="s">
        <v>148</v>
      </c>
      <c r="C27" s="21" t="s">
        <v>80</v>
      </c>
      <c r="D27" s="21" t="s">
        <v>110</v>
      </c>
      <c r="E27" s="26" t="n">
        <v>45848</v>
      </c>
      <c r="F27" s="27" t="n">
        <v>2.756513851142</v>
      </c>
      <c r="G27" s="21" t="n">
        <v>40</v>
      </c>
      <c r="H27" s="22" t="n">
        <v>69.7996135977881</v>
      </c>
      <c r="I27" s="22" t="n">
        <f aca="false">H27*365</f>
        <v>25476.8589631927</v>
      </c>
    </row>
    <row r="28" customFormat="false" ht="15" hidden="false" customHeight="false" outlineLevel="0" collapsed="false">
      <c r="A28" s="0" t="s">
        <v>149</v>
      </c>
      <c r="B28" s="0" t="s">
        <v>150</v>
      </c>
      <c r="C28" s="0" t="s">
        <v>79</v>
      </c>
      <c r="D28" s="0" t="s">
        <v>98</v>
      </c>
      <c r="E28" s="24" t="n">
        <v>45852</v>
      </c>
      <c r="F28" s="25" t="n">
        <v>2.59480971858112</v>
      </c>
      <c r="G28" s="0" t="n">
        <v>40</v>
      </c>
      <c r="H28" s="18" t="n">
        <v>21.6331008593647</v>
      </c>
      <c r="I28" s="18" t="n">
        <f aca="false">H28*365</f>
        <v>7896.08181366811</v>
      </c>
    </row>
    <row r="29" customFormat="false" ht="15" hidden="false" customHeight="false" outlineLevel="0" collapsed="false">
      <c r="A29" s="21" t="s">
        <v>151</v>
      </c>
      <c r="B29" s="21" t="s">
        <v>152</v>
      </c>
      <c r="C29" s="21" t="s">
        <v>79</v>
      </c>
      <c r="D29" s="21" t="s">
        <v>116</v>
      </c>
      <c r="E29" s="26" t="n">
        <v>45856</v>
      </c>
      <c r="F29" s="27" t="n">
        <v>0.318605145421449</v>
      </c>
      <c r="G29" s="21" t="n">
        <v>40</v>
      </c>
      <c r="H29" s="22" t="n">
        <v>19.6310107152771</v>
      </c>
      <c r="I29" s="22" t="n">
        <f aca="false">H29*365</f>
        <v>7165.31891107613</v>
      </c>
    </row>
    <row r="30" customFormat="false" ht="15" hidden="false" customHeight="false" outlineLevel="0" collapsed="false">
      <c r="A30" s="0" t="s">
        <v>153</v>
      </c>
      <c r="B30" s="0" t="s">
        <v>154</v>
      </c>
      <c r="C30" s="0" t="s">
        <v>80</v>
      </c>
      <c r="D30" s="0" t="s">
        <v>110</v>
      </c>
      <c r="E30" s="24" t="n">
        <v>45857</v>
      </c>
      <c r="F30" s="25" t="n">
        <v>0.377781298349353</v>
      </c>
      <c r="G30" s="0" t="n">
        <v>40</v>
      </c>
      <c r="H30" s="18" t="n">
        <v>41.5050380312499</v>
      </c>
      <c r="I30" s="18" t="n">
        <f aca="false">H30*365</f>
        <v>15149.3388814062</v>
      </c>
    </row>
    <row r="31" customFormat="false" ht="15" hidden="false" customHeight="false" outlineLevel="0" collapsed="false">
      <c r="A31" s="21" t="s">
        <v>155</v>
      </c>
      <c r="B31" s="21" t="s">
        <v>156</v>
      </c>
      <c r="C31" s="21" t="s">
        <v>78</v>
      </c>
      <c r="D31" s="21" t="s">
        <v>102</v>
      </c>
      <c r="E31" s="26" t="n">
        <v>45859</v>
      </c>
      <c r="F31" s="27" t="n">
        <v>0.283523896068229</v>
      </c>
      <c r="G31" s="21" t="n">
        <v>40</v>
      </c>
      <c r="H31" s="22" t="n">
        <v>66.7249637267915</v>
      </c>
      <c r="I31" s="22" t="n">
        <f aca="false">H31*365</f>
        <v>24354.6117602789</v>
      </c>
    </row>
    <row r="32" customFormat="false" ht="15" hidden="false" customHeight="false" outlineLevel="0" collapsed="false">
      <c r="A32" s="0" t="s">
        <v>157</v>
      </c>
      <c r="B32" s="0" t="s">
        <v>158</v>
      </c>
      <c r="C32" s="0" t="s">
        <v>79</v>
      </c>
      <c r="D32" s="0" t="s">
        <v>116</v>
      </c>
      <c r="E32" s="24" t="n">
        <v>45862</v>
      </c>
      <c r="F32" s="25" t="n">
        <v>0.979183028011242</v>
      </c>
      <c r="G32" s="0" t="n">
        <v>40</v>
      </c>
      <c r="H32" s="18" t="n">
        <v>46.3367635017576</v>
      </c>
      <c r="I32" s="18" t="n">
        <f aca="false">H32*365</f>
        <v>16912.9186781415</v>
      </c>
    </row>
    <row r="33" customFormat="false" ht="15" hidden="false" customHeight="false" outlineLevel="0" collapsed="false">
      <c r="A33" s="21" t="s">
        <v>159</v>
      </c>
      <c r="B33" s="21" t="s">
        <v>160</v>
      </c>
      <c r="C33" s="21" t="s">
        <v>76</v>
      </c>
      <c r="D33" s="21" t="s">
        <v>116</v>
      </c>
      <c r="E33" s="26" t="n">
        <v>45876</v>
      </c>
      <c r="F33" s="27" t="n">
        <v>1.00627297570245</v>
      </c>
      <c r="G33" s="21" t="n">
        <v>40</v>
      </c>
      <c r="H33" s="22" t="n">
        <v>31.7520910642318</v>
      </c>
      <c r="I33" s="22" t="n">
        <f aca="false">H33*365</f>
        <v>11589.5132384446</v>
      </c>
    </row>
    <row r="34" customFormat="false" ht="15" hidden="false" customHeight="false" outlineLevel="0" collapsed="false">
      <c r="A34" s="0" t="s">
        <v>161</v>
      </c>
      <c r="B34" s="0" t="s">
        <v>162</v>
      </c>
      <c r="C34" s="0" t="s">
        <v>80</v>
      </c>
      <c r="D34" s="0" t="s">
        <v>107</v>
      </c>
      <c r="E34" s="24" t="n">
        <v>45877</v>
      </c>
      <c r="F34" s="25" t="n">
        <v>0.727020562570622</v>
      </c>
      <c r="G34" s="0" t="n">
        <v>40</v>
      </c>
      <c r="H34" s="18" t="n">
        <v>11.915326223753</v>
      </c>
      <c r="I34" s="18" t="n">
        <f aca="false">H34*365</f>
        <v>4349.09407166985</v>
      </c>
    </row>
    <row r="35" customFormat="false" ht="15" hidden="false" customHeight="false" outlineLevel="0" collapsed="false">
      <c r="A35" s="21" t="s">
        <v>163</v>
      </c>
      <c r="B35" s="21" t="s">
        <v>164</v>
      </c>
      <c r="C35" s="21" t="s">
        <v>78</v>
      </c>
      <c r="D35" s="21" t="s">
        <v>113</v>
      </c>
      <c r="E35" s="26" t="n">
        <v>45889</v>
      </c>
      <c r="F35" s="27" t="n">
        <v>0.310060657623125</v>
      </c>
      <c r="G35" s="21" t="n">
        <v>40</v>
      </c>
      <c r="H35" s="22" t="n">
        <v>382.013785427212</v>
      </c>
      <c r="I35" s="22" t="n">
        <f aca="false">H35*365</f>
        <v>139435.031680932</v>
      </c>
    </row>
    <row r="36" customFormat="false" ht="15" hidden="false" customHeight="false" outlineLevel="0" collapsed="false">
      <c r="A36" s="0" t="s">
        <v>165</v>
      </c>
      <c r="B36" s="0" t="s">
        <v>166</v>
      </c>
      <c r="C36" s="0" t="s">
        <v>80</v>
      </c>
      <c r="D36" s="0" t="s">
        <v>110</v>
      </c>
      <c r="E36" s="24" t="n">
        <v>45890</v>
      </c>
      <c r="F36" s="25" t="n">
        <v>0.548274829272173</v>
      </c>
      <c r="G36" s="0" t="n">
        <v>40</v>
      </c>
      <c r="H36" s="18" t="n">
        <v>20.337024083545</v>
      </c>
      <c r="I36" s="18" t="n">
        <f aca="false">H36*365</f>
        <v>7423.01379049393</v>
      </c>
    </row>
    <row r="37" customFormat="false" ht="15" hidden="false" customHeight="false" outlineLevel="0" collapsed="false">
      <c r="A37" s="21" t="s">
        <v>167</v>
      </c>
      <c r="B37" s="21" t="s">
        <v>168</v>
      </c>
      <c r="C37" s="21" t="s">
        <v>79</v>
      </c>
      <c r="D37" s="21" t="s">
        <v>102</v>
      </c>
      <c r="E37" s="26" t="n">
        <v>45892</v>
      </c>
      <c r="F37" s="27" t="n">
        <v>0.687109905079468</v>
      </c>
      <c r="G37" s="21" t="n">
        <v>40</v>
      </c>
      <c r="H37" s="22" t="n">
        <v>29.502022306194</v>
      </c>
      <c r="I37" s="22" t="n">
        <f aca="false">H37*365</f>
        <v>10768.2381417608</v>
      </c>
    </row>
    <row r="38" customFormat="false" ht="15" hidden="false" customHeight="false" outlineLevel="0" collapsed="false">
      <c r="A38" s="0" t="s">
        <v>169</v>
      </c>
      <c r="B38" s="0" t="s">
        <v>170</v>
      </c>
      <c r="C38" s="0" t="s">
        <v>80</v>
      </c>
      <c r="D38" s="0" t="s">
        <v>107</v>
      </c>
      <c r="E38" s="24" t="n">
        <v>45897</v>
      </c>
      <c r="F38" s="25" t="n">
        <v>0.646057415604636</v>
      </c>
      <c r="G38" s="0" t="n">
        <v>40</v>
      </c>
      <c r="H38" s="18" t="n">
        <v>35.6357838065586</v>
      </c>
      <c r="I38" s="18" t="n">
        <f aca="false">H38*365</f>
        <v>13007.0610893939</v>
      </c>
    </row>
    <row r="39" customFormat="false" ht="15" hidden="false" customHeight="false" outlineLevel="0" collapsed="false">
      <c r="A39" s="21" t="s">
        <v>171</v>
      </c>
      <c r="B39" s="21" t="s">
        <v>172</v>
      </c>
      <c r="C39" s="21" t="s">
        <v>79</v>
      </c>
      <c r="D39" s="21" t="s">
        <v>116</v>
      </c>
      <c r="E39" s="26" t="n">
        <v>45903</v>
      </c>
      <c r="F39" s="27" t="n">
        <v>2.66722978150592</v>
      </c>
      <c r="G39" s="21" t="n">
        <v>40</v>
      </c>
      <c r="H39" s="22" t="n">
        <v>167.453082707382</v>
      </c>
      <c r="I39" s="22" t="n">
        <f aca="false">H39*365</f>
        <v>61120.3751881944</v>
      </c>
    </row>
    <row r="40" customFormat="false" ht="15" hidden="false" customHeight="false" outlineLevel="0" collapsed="false">
      <c r="A40" s="0" t="s">
        <v>173</v>
      </c>
      <c r="B40" s="0" t="s">
        <v>174</v>
      </c>
      <c r="C40" s="0" t="s">
        <v>76</v>
      </c>
      <c r="D40" s="0" t="s">
        <v>117</v>
      </c>
      <c r="E40" s="24" t="n">
        <v>45906</v>
      </c>
      <c r="F40" s="25" t="n">
        <v>0.281702739337816</v>
      </c>
      <c r="G40" s="0" t="n">
        <v>40</v>
      </c>
      <c r="H40" s="18" t="n">
        <v>26.4816658275216</v>
      </c>
      <c r="I40" s="18" t="n">
        <f aca="false">H40*365</f>
        <v>9665.80802704539</v>
      </c>
    </row>
    <row r="41" customFormat="false" ht="15" hidden="false" customHeight="false" outlineLevel="0" collapsed="false">
      <c r="A41" s="21" t="s">
        <v>175</v>
      </c>
      <c r="B41" s="21" t="s">
        <v>176</v>
      </c>
      <c r="C41" s="21" t="s">
        <v>79</v>
      </c>
      <c r="D41" s="21" t="s">
        <v>98</v>
      </c>
      <c r="E41" s="26" t="n">
        <v>45906</v>
      </c>
      <c r="F41" s="27" t="n">
        <v>0.531290749443915</v>
      </c>
      <c r="G41" s="21" t="n">
        <v>40</v>
      </c>
      <c r="H41" s="22" t="n">
        <v>3.09955113056591</v>
      </c>
      <c r="I41" s="22" t="n">
        <f aca="false">H41*365</f>
        <v>1131.33616265656</v>
      </c>
    </row>
    <row r="42" customFormat="false" ht="15" hidden="false" customHeight="false" outlineLevel="0" collapsed="false">
      <c r="A42" s="0" t="s">
        <v>177</v>
      </c>
      <c r="B42" s="0" t="s">
        <v>178</v>
      </c>
      <c r="C42" s="0" t="s">
        <v>75</v>
      </c>
      <c r="D42" s="0" t="s">
        <v>113</v>
      </c>
      <c r="E42" s="24" t="n">
        <v>45907</v>
      </c>
      <c r="F42" s="25" t="n">
        <v>0.80536307062637</v>
      </c>
      <c r="G42" s="0" t="n">
        <v>40</v>
      </c>
      <c r="H42" s="18" t="n">
        <v>8.41306567967226</v>
      </c>
      <c r="I42" s="18" t="n">
        <f aca="false">H42*365</f>
        <v>3070.76897308038</v>
      </c>
    </row>
    <row r="43" customFormat="false" ht="15" hidden="false" customHeight="false" outlineLevel="0" collapsed="false">
      <c r="A43" s="21" t="s">
        <v>179</v>
      </c>
      <c r="B43" s="21" t="s">
        <v>180</v>
      </c>
      <c r="C43" s="21" t="s">
        <v>77</v>
      </c>
      <c r="D43" s="21" t="s">
        <v>113</v>
      </c>
      <c r="E43" s="26" t="n">
        <v>45907</v>
      </c>
      <c r="F43" s="27" t="n">
        <v>0.891474403796618</v>
      </c>
      <c r="G43" s="21" t="n">
        <v>40</v>
      </c>
      <c r="H43" s="22" t="n">
        <v>118.399915342987</v>
      </c>
      <c r="I43" s="22" t="n">
        <f aca="false">H43*365</f>
        <v>43215.9691001903</v>
      </c>
    </row>
    <row r="44" customFormat="false" ht="15" hidden="false" customHeight="false" outlineLevel="0" collapsed="false">
      <c r="A44" s="0" t="s">
        <v>181</v>
      </c>
      <c r="B44" s="0" t="s">
        <v>182</v>
      </c>
      <c r="C44" s="0" t="s">
        <v>75</v>
      </c>
      <c r="D44" s="0" t="s">
        <v>113</v>
      </c>
      <c r="E44" s="24" t="n">
        <v>45910</v>
      </c>
      <c r="F44" s="25" t="n">
        <v>0.638550667413261</v>
      </c>
      <c r="G44" s="0" t="n">
        <v>40</v>
      </c>
      <c r="H44" s="18" t="n">
        <v>118.885337502546</v>
      </c>
      <c r="I44" s="18" t="n">
        <f aca="false">H44*365</f>
        <v>43393.1481884294</v>
      </c>
    </row>
    <row r="45" customFormat="false" ht="15" hidden="false" customHeight="false" outlineLevel="0" collapsed="false">
      <c r="A45" s="21" t="s">
        <v>183</v>
      </c>
      <c r="B45" s="21" t="s">
        <v>184</v>
      </c>
      <c r="C45" s="21" t="s">
        <v>76</v>
      </c>
      <c r="D45" s="21" t="s">
        <v>110</v>
      </c>
      <c r="E45" s="26" t="n">
        <v>45910</v>
      </c>
      <c r="F45" s="27" t="n">
        <v>2.90071462539104</v>
      </c>
      <c r="G45" s="21" t="n">
        <v>40</v>
      </c>
      <c r="H45" s="22" t="n">
        <v>293.672870040674</v>
      </c>
      <c r="I45" s="22" t="n">
        <f aca="false">H45*365</f>
        <v>107190.597564846</v>
      </c>
    </row>
    <row r="46" customFormat="false" ht="15" hidden="false" customHeight="false" outlineLevel="0" collapsed="false">
      <c r="A46" s="0" t="s">
        <v>185</v>
      </c>
      <c r="B46" s="0" t="s">
        <v>186</v>
      </c>
      <c r="C46" s="0" t="s">
        <v>77</v>
      </c>
      <c r="D46" s="0" t="s">
        <v>110</v>
      </c>
      <c r="E46" s="24" t="n">
        <v>45911</v>
      </c>
      <c r="F46" s="25" t="n">
        <v>0.685884467910006</v>
      </c>
      <c r="G46" s="0" t="n">
        <v>40</v>
      </c>
      <c r="H46" s="18" t="n">
        <v>78.169883459628</v>
      </c>
      <c r="I46" s="18" t="n">
        <f aca="false">H46*365</f>
        <v>28532.0074627642</v>
      </c>
    </row>
    <row r="47" customFormat="false" ht="15" hidden="false" customHeight="false" outlineLevel="0" collapsed="false">
      <c r="A47" s="21" t="s">
        <v>187</v>
      </c>
      <c r="B47" s="21" t="s">
        <v>188</v>
      </c>
      <c r="C47" s="21" t="s">
        <v>76</v>
      </c>
      <c r="D47" s="21" t="s">
        <v>110</v>
      </c>
      <c r="E47" s="26" t="n">
        <v>45914</v>
      </c>
      <c r="F47" s="27" t="n">
        <v>0.540576296003184</v>
      </c>
      <c r="G47" s="21" t="n">
        <v>40</v>
      </c>
      <c r="H47" s="22" t="n">
        <v>3.74241515454228</v>
      </c>
      <c r="I47" s="22" t="n">
        <f aca="false">H47*365</f>
        <v>1365.98153140793</v>
      </c>
    </row>
    <row r="48" customFormat="false" ht="15" hidden="false" customHeight="false" outlineLevel="0" collapsed="false">
      <c r="A48" s="0" t="s">
        <v>189</v>
      </c>
      <c r="B48" s="0" t="s">
        <v>190</v>
      </c>
      <c r="C48" s="0" t="s">
        <v>79</v>
      </c>
      <c r="D48" s="0" t="s">
        <v>117</v>
      </c>
      <c r="E48" s="24" t="n">
        <v>45916</v>
      </c>
      <c r="F48" s="25" t="n">
        <v>2.38085516154858</v>
      </c>
      <c r="G48" s="0" t="n">
        <v>40</v>
      </c>
      <c r="H48" s="18" t="n">
        <v>39.8099112767533</v>
      </c>
      <c r="I48" s="18" t="n">
        <f aca="false">H48*365</f>
        <v>14530.617616015</v>
      </c>
    </row>
    <row r="49" customFormat="false" ht="15" hidden="false" customHeight="false" outlineLevel="0" collapsed="false">
      <c r="A49" s="21" t="s">
        <v>191</v>
      </c>
      <c r="B49" s="21" t="s">
        <v>192</v>
      </c>
      <c r="C49" s="21" t="s">
        <v>79</v>
      </c>
      <c r="D49" s="21" t="s">
        <v>110</v>
      </c>
      <c r="E49" s="26" t="n">
        <v>45917</v>
      </c>
      <c r="F49" s="27" t="n">
        <v>2.75907361130476</v>
      </c>
      <c r="G49" s="21" t="n">
        <v>40</v>
      </c>
      <c r="H49" s="22" t="n">
        <v>17.1491017057955</v>
      </c>
      <c r="I49" s="22" t="n">
        <f aca="false">H49*365</f>
        <v>6259.42212261536</v>
      </c>
    </row>
    <row r="50" customFormat="false" ht="15" hidden="false" customHeight="false" outlineLevel="0" collapsed="false">
      <c r="A50" s="0" t="s">
        <v>193</v>
      </c>
      <c r="B50" s="0" t="s">
        <v>194</v>
      </c>
      <c r="C50" s="0" t="s">
        <v>77</v>
      </c>
      <c r="D50" s="0" t="s">
        <v>110</v>
      </c>
      <c r="E50" s="24" t="n">
        <v>45918</v>
      </c>
      <c r="F50" s="25" t="n">
        <v>0.16915486672761</v>
      </c>
      <c r="G50" s="0" t="n">
        <v>40</v>
      </c>
      <c r="H50" s="18" t="n">
        <v>14.8061153467928</v>
      </c>
      <c r="I50" s="18" t="n">
        <f aca="false">H50*365</f>
        <v>5404.23210157935</v>
      </c>
    </row>
    <row r="51" customFormat="false" ht="15" hidden="false" customHeight="false" outlineLevel="0" collapsed="false">
      <c r="A51" s="21" t="s">
        <v>195</v>
      </c>
      <c r="B51" s="21" t="s">
        <v>196</v>
      </c>
      <c r="C51" s="21" t="s">
        <v>78</v>
      </c>
      <c r="D51" s="21" t="s">
        <v>102</v>
      </c>
      <c r="E51" s="26" t="n">
        <v>45919</v>
      </c>
      <c r="F51" s="27" t="n">
        <v>0.167455191809295</v>
      </c>
      <c r="G51" s="21" t="n">
        <v>40</v>
      </c>
      <c r="H51" s="22" t="n">
        <v>222.142687545142</v>
      </c>
      <c r="I51" s="22" t="n">
        <f aca="false">H51*365</f>
        <v>81082.0809539767</v>
      </c>
    </row>
    <row r="52" customFormat="false" ht="15" hidden="false" customHeight="false" outlineLevel="0" collapsed="false">
      <c r="A52" s="0" t="s">
        <v>197</v>
      </c>
      <c r="B52" s="0" t="s">
        <v>198</v>
      </c>
      <c r="C52" s="0" t="s">
        <v>75</v>
      </c>
      <c r="D52" s="0" t="s">
        <v>113</v>
      </c>
      <c r="E52" s="24" t="n">
        <v>45923</v>
      </c>
      <c r="F52" s="25" t="n">
        <v>1.01863850632769</v>
      </c>
      <c r="G52" s="0" t="n">
        <v>40</v>
      </c>
      <c r="H52" s="18" t="n">
        <v>175.406390588477</v>
      </c>
      <c r="I52" s="18" t="n">
        <f aca="false">H52*365</f>
        <v>64023.3325647941</v>
      </c>
    </row>
    <row r="53" customFormat="false" ht="15" hidden="false" customHeight="false" outlineLevel="0" collapsed="false">
      <c r="A53" s="21" t="s">
        <v>199</v>
      </c>
      <c r="B53" s="21" t="s">
        <v>200</v>
      </c>
      <c r="C53" s="21" t="s">
        <v>80</v>
      </c>
      <c r="D53" s="21" t="s">
        <v>113</v>
      </c>
      <c r="E53" s="26" t="n">
        <v>45924</v>
      </c>
      <c r="F53" s="27" t="n">
        <v>0.679099242504735</v>
      </c>
      <c r="G53" s="21" t="n">
        <v>40</v>
      </c>
      <c r="H53" s="22" t="n">
        <v>25.7300801325518</v>
      </c>
      <c r="I53" s="22" t="n">
        <f aca="false">H53*365</f>
        <v>9391.4792483814</v>
      </c>
    </row>
    <row r="54" customFormat="false" ht="15" hidden="false" customHeight="false" outlineLevel="0" collapsed="false">
      <c r="A54" s="0" t="s">
        <v>201</v>
      </c>
      <c r="B54" s="0" t="s">
        <v>202</v>
      </c>
      <c r="C54" s="0" t="s">
        <v>79</v>
      </c>
      <c r="D54" s="0" t="s">
        <v>116</v>
      </c>
      <c r="E54" s="24" t="n">
        <v>45925</v>
      </c>
      <c r="F54" s="25" t="n">
        <v>0.435793151918233</v>
      </c>
      <c r="G54" s="0" t="n">
        <v>40</v>
      </c>
      <c r="H54" s="18" t="n">
        <v>18.1236214920515</v>
      </c>
      <c r="I54" s="18" t="n">
        <f aca="false">H54*365</f>
        <v>6615.12184459881</v>
      </c>
    </row>
    <row r="55" customFormat="false" ht="15" hidden="false" customHeight="false" outlineLevel="0" collapsed="false">
      <c r="A55" s="21" t="s">
        <v>203</v>
      </c>
      <c r="B55" s="21" t="s">
        <v>204</v>
      </c>
      <c r="C55" s="21" t="s">
        <v>75</v>
      </c>
      <c r="D55" s="21" t="s">
        <v>113</v>
      </c>
      <c r="E55" s="26" t="n">
        <v>45929</v>
      </c>
      <c r="F55" s="27" t="n">
        <v>2.51771545230008</v>
      </c>
      <c r="G55" s="21" t="n">
        <v>40</v>
      </c>
      <c r="H55" s="22" t="n">
        <v>59.6471398940927</v>
      </c>
      <c r="I55" s="22" t="n">
        <f aca="false">H55*365</f>
        <v>21771.2060613438</v>
      </c>
    </row>
    <row r="56" customFormat="false" ht="15" hidden="false" customHeight="false" outlineLevel="0" collapsed="false">
      <c r="A56" s="0" t="s">
        <v>205</v>
      </c>
      <c r="B56" s="0" t="s">
        <v>206</v>
      </c>
      <c r="C56" s="0" t="s">
        <v>75</v>
      </c>
      <c r="D56" s="0" t="s">
        <v>113</v>
      </c>
      <c r="E56" s="24" t="n">
        <v>45931</v>
      </c>
      <c r="F56" s="25" t="n">
        <v>1.06110895106756</v>
      </c>
      <c r="G56" s="0" t="n">
        <v>40</v>
      </c>
      <c r="H56" s="18" t="n">
        <v>37.1809408787981</v>
      </c>
      <c r="I56" s="18" t="n">
        <f aca="false">H56*365</f>
        <v>13571.0434207613</v>
      </c>
    </row>
    <row r="57" customFormat="false" ht="15" hidden="false" customHeight="false" outlineLevel="0" collapsed="false">
      <c r="A57" s="21" t="s">
        <v>207</v>
      </c>
      <c r="B57" s="21" t="s">
        <v>208</v>
      </c>
      <c r="C57" s="21" t="s">
        <v>79</v>
      </c>
      <c r="D57" s="21" t="s">
        <v>110</v>
      </c>
      <c r="E57" s="26" t="n">
        <v>45931</v>
      </c>
      <c r="F57" s="27" t="n">
        <v>0.661820635834495</v>
      </c>
      <c r="G57" s="21" t="n">
        <v>40</v>
      </c>
      <c r="H57" s="22" t="n">
        <v>54.4418869452864</v>
      </c>
      <c r="I57" s="22" t="n">
        <f aca="false">H57*365</f>
        <v>19871.2887350295</v>
      </c>
    </row>
    <row r="58" customFormat="false" ht="15" hidden="false" customHeight="false" outlineLevel="0" collapsed="false">
      <c r="A58" s="0" t="s">
        <v>209</v>
      </c>
      <c r="B58" s="0" t="s">
        <v>210</v>
      </c>
      <c r="C58" s="0" t="s">
        <v>79</v>
      </c>
      <c r="D58" s="0" t="s">
        <v>117</v>
      </c>
      <c r="E58" s="24" t="n">
        <v>45932</v>
      </c>
      <c r="F58" s="25" t="n">
        <v>2.44371377839495</v>
      </c>
      <c r="G58" s="0" t="n">
        <v>40</v>
      </c>
      <c r="H58" s="18" t="n">
        <v>39.598100647597</v>
      </c>
      <c r="I58" s="18" t="n">
        <f aca="false">H58*365</f>
        <v>14453.3067363729</v>
      </c>
    </row>
    <row r="59" customFormat="false" ht="15" hidden="false" customHeight="false" outlineLevel="0" collapsed="false">
      <c r="A59" s="21" t="s">
        <v>211</v>
      </c>
      <c r="B59" s="21" t="s">
        <v>212</v>
      </c>
      <c r="C59" s="21" t="s">
        <v>79</v>
      </c>
      <c r="D59" s="21" t="s">
        <v>98</v>
      </c>
      <c r="E59" s="26" t="n">
        <v>45935</v>
      </c>
      <c r="F59" s="27" t="n">
        <v>2.46239713587994</v>
      </c>
      <c r="G59" s="21" t="n">
        <v>40</v>
      </c>
      <c r="H59" s="22" t="n">
        <v>20.7635588287715</v>
      </c>
      <c r="I59" s="22" t="n">
        <f aca="false">H59*365</f>
        <v>7578.69897250161</v>
      </c>
    </row>
    <row r="60" customFormat="false" ht="15" hidden="false" customHeight="false" outlineLevel="0" collapsed="false">
      <c r="A60" s="0" t="s">
        <v>213</v>
      </c>
      <c r="B60" s="0" t="s">
        <v>214</v>
      </c>
      <c r="C60" s="0" t="s">
        <v>76</v>
      </c>
      <c r="D60" s="0" t="s">
        <v>98</v>
      </c>
      <c r="E60" s="24" t="n">
        <v>45944</v>
      </c>
      <c r="F60" s="25" t="n">
        <v>0.578105160359603</v>
      </c>
      <c r="G60" s="0" t="n">
        <v>40</v>
      </c>
      <c r="H60" s="18" t="n">
        <v>9.14674977117455</v>
      </c>
      <c r="I60" s="18" t="n">
        <f aca="false">H60*365</f>
        <v>3338.56366647871</v>
      </c>
    </row>
    <row r="61" customFormat="false" ht="15" hidden="false" customHeight="false" outlineLevel="0" collapsed="false">
      <c r="A61" s="21" t="s">
        <v>215</v>
      </c>
      <c r="B61" s="21" t="s">
        <v>216</v>
      </c>
      <c r="C61" s="21" t="s">
        <v>79</v>
      </c>
      <c r="D61" s="21" t="s">
        <v>99</v>
      </c>
      <c r="E61" s="26" t="n">
        <v>45944</v>
      </c>
      <c r="F61" s="27" t="n">
        <v>0.545423068078649</v>
      </c>
      <c r="G61" s="21" t="n">
        <v>40</v>
      </c>
      <c r="H61" s="22" t="n">
        <v>22.3767939020307</v>
      </c>
      <c r="I61" s="22" t="n">
        <f aca="false">H61*365</f>
        <v>8167.52977424121</v>
      </c>
    </row>
    <row r="62" customFormat="false" ht="15" hidden="false" customHeight="false" outlineLevel="0" collapsed="false">
      <c r="A62" s="0" t="s">
        <v>217</v>
      </c>
      <c r="B62" s="0" t="s">
        <v>218</v>
      </c>
      <c r="C62" s="0" t="s">
        <v>76</v>
      </c>
      <c r="D62" s="0" t="s">
        <v>117</v>
      </c>
      <c r="E62" s="24" t="n">
        <v>45947</v>
      </c>
      <c r="F62" s="25" t="n">
        <v>0.546715826533129</v>
      </c>
      <c r="G62" s="0" t="n">
        <v>40</v>
      </c>
      <c r="H62" s="18" t="n">
        <v>187.134498704002</v>
      </c>
      <c r="I62" s="18" t="n">
        <f aca="false">H62*365</f>
        <v>68304.0920269606</v>
      </c>
    </row>
    <row r="63" customFormat="false" ht="15" hidden="false" customHeight="false" outlineLevel="0" collapsed="false">
      <c r="A63" s="21" t="s">
        <v>219</v>
      </c>
      <c r="B63" s="21" t="s">
        <v>220</v>
      </c>
      <c r="C63" s="21" t="s">
        <v>75</v>
      </c>
      <c r="D63" s="21" t="s">
        <v>107</v>
      </c>
      <c r="E63" s="26" t="n">
        <v>45948</v>
      </c>
      <c r="F63" s="27" t="n">
        <v>0.272505043995487</v>
      </c>
      <c r="G63" s="21" t="n">
        <v>40</v>
      </c>
      <c r="H63" s="22" t="n">
        <v>3.285893261028</v>
      </c>
      <c r="I63" s="22" t="n">
        <f aca="false">H63*365</f>
        <v>1199.35104027522</v>
      </c>
    </row>
    <row r="64" customFormat="false" ht="15" hidden="false" customHeight="false" outlineLevel="0" collapsed="false">
      <c r="A64" s="0" t="s">
        <v>221</v>
      </c>
      <c r="B64" s="0" t="s">
        <v>222</v>
      </c>
      <c r="C64" s="0" t="s">
        <v>80</v>
      </c>
      <c r="D64" s="0" t="s">
        <v>113</v>
      </c>
      <c r="E64" s="24" t="n">
        <v>45956</v>
      </c>
      <c r="F64" s="25" t="n">
        <v>0.985793602913216</v>
      </c>
      <c r="G64" s="0" t="n">
        <v>40</v>
      </c>
      <c r="H64" s="18" t="n">
        <v>5.6935765387537</v>
      </c>
      <c r="I64" s="18" t="n">
        <f aca="false">H64*365</f>
        <v>2078.1554366451</v>
      </c>
    </row>
    <row r="65" customFormat="false" ht="15" hidden="false" customHeight="false" outlineLevel="0" collapsed="false">
      <c r="A65" s="21" t="s">
        <v>223</v>
      </c>
      <c r="B65" s="21" t="s">
        <v>224</v>
      </c>
      <c r="C65" s="21" t="s">
        <v>80</v>
      </c>
      <c r="D65" s="21" t="s">
        <v>98</v>
      </c>
      <c r="E65" s="26" t="n">
        <v>45958</v>
      </c>
      <c r="F65" s="27" t="n">
        <v>2.70082014985637</v>
      </c>
      <c r="G65" s="21" t="n">
        <v>40</v>
      </c>
      <c r="H65" s="22" t="n">
        <v>3.39650213279452</v>
      </c>
      <c r="I65" s="22" t="n">
        <f aca="false">H65*365</f>
        <v>1239.72327847</v>
      </c>
    </row>
    <row r="66" customFormat="false" ht="15" hidden="false" customHeight="false" outlineLevel="0" collapsed="false">
      <c r="A66" s="0" t="s">
        <v>225</v>
      </c>
      <c r="B66" s="0" t="s">
        <v>226</v>
      </c>
      <c r="C66" s="0" t="s">
        <v>76</v>
      </c>
      <c r="D66" s="0" t="s">
        <v>98</v>
      </c>
      <c r="E66" s="24" t="n">
        <v>45961</v>
      </c>
      <c r="F66" s="25" t="n">
        <v>2.52627602679202</v>
      </c>
      <c r="G66" s="0" t="n">
        <v>40</v>
      </c>
      <c r="H66" s="18" t="n">
        <v>44.7050602588659</v>
      </c>
      <c r="I66" s="18" t="n">
        <f aca="false">H66*365</f>
        <v>16317.346994486</v>
      </c>
    </row>
    <row r="67" customFormat="false" ht="15" hidden="false" customHeight="false" outlineLevel="0" collapsed="false">
      <c r="A67" s="21" t="s">
        <v>227</v>
      </c>
      <c r="B67" s="21" t="s">
        <v>228</v>
      </c>
      <c r="C67" s="21" t="s">
        <v>79</v>
      </c>
      <c r="D67" s="21" t="s">
        <v>99</v>
      </c>
      <c r="E67" s="26" t="n">
        <v>45966</v>
      </c>
      <c r="F67" s="27" t="n">
        <v>2.4056747390086</v>
      </c>
      <c r="G67" s="21" t="n">
        <v>40</v>
      </c>
      <c r="H67" s="22" t="n">
        <v>10.0993157143792</v>
      </c>
      <c r="I67" s="22" t="n">
        <f aca="false">H67*365</f>
        <v>3686.25023574841</v>
      </c>
    </row>
    <row r="68" customFormat="false" ht="15" hidden="false" customHeight="false" outlineLevel="0" collapsed="false">
      <c r="A68" s="0" t="s">
        <v>229</v>
      </c>
      <c r="B68" s="0" t="s">
        <v>230</v>
      </c>
      <c r="C68" s="0" t="s">
        <v>76</v>
      </c>
      <c r="D68" s="0" t="s">
        <v>99</v>
      </c>
      <c r="E68" s="24" t="n">
        <v>45969</v>
      </c>
      <c r="F68" s="25" t="n">
        <v>0.818822086662905</v>
      </c>
      <c r="G68" s="0" t="n">
        <v>40</v>
      </c>
      <c r="H68" s="18" t="n">
        <v>15.8578283175073</v>
      </c>
      <c r="I68" s="18" t="n">
        <f aca="false">H68*365</f>
        <v>5788.10733589016</v>
      </c>
    </row>
    <row r="69" customFormat="false" ht="15" hidden="false" customHeight="false" outlineLevel="0" collapsed="false">
      <c r="A69" s="21" t="s">
        <v>231</v>
      </c>
      <c r="B69" s="21" t="s">
        <v>232</v>
      </c>
      <c r="C69" s="21" t="s">
        <v>76</v>
      </c>
      <c r="D69" s="21" t="s">
        <v>102</v>
      </c>
      <c r="E69" s="26" t="n">
        <v>45970</v>
      </c>
      <c r="F69" s="27" t="n">
        <v>2.420966176992</v>
      </c>
      <c r="G69" s="21" t="n">
        <v>40</v>
      </c>
      <c r="H69" s="22" t="n">
        <v>42.6152098966266</v>
      </c>
      <c r="I69" s="22" t="n">
        <f aca="false">H69*365</f>
        <v>15554.5516122687</v>
      </c>
    </row>
    <row r="70" customFormat="false" ht="15" hidden="false" customHeight="false" outlineLevel="0" collapsed="false">
      <c r="A70" s="0" t="s">
        <v>233</v>
      </c>
      <c r="B70" s="0" t="s">
        <v>234</v>
      </c>
      <c r="C70" s="0" t="s">
        <v>80</v>
      </c>
      <c r="D70" s="0" t="s">
        <v>98</v>
      </c>
      <c r="E70" s="24" t="n">
        <v>45974</v>
      </c>
      <c r="F70" s="25" t="n">
        <v>0.633915506871482</v>
      </c>
      <c r="G70" s="0" t="n">
        <v>40</v>
      </c>
      <c r="H70" s="18" t="n">
        <v>22.0986437872451</v>
      </c>
      <c r="I70" s="18" t="n">
        <f aca="false">H70*365</f>
        <v>8066.00498234446</v>
      </c>
    </row>
    <row r="71" customFormat="false" ht="15" hidden="false" customHeight="false" outlineLevel="0" collapsed="false">
      <c r="A71" s="21" t="s">
        <v>235</v>
      </c>
      <c r="B71" s="21" t="s">
        <v>236</v>
      </c>
      <c r="C71" s="21" t="s">
        <v>80</v>
      </c>
      <c r="D71" s="21" t="s">
        <v>107</v>
      </c>
      <c r="E71" s="26" t="n">
        <v>45977</v>
      </c>
      <c r="F71" s="27" t="n">
        <v>0.298707453040255</v>
      </c>
      <c r="G71" s="21" t="n">
        <v>40</v>
      </c>
      <c r="H71" s="22" t="n">
        <v>183.907931078671</v>
      </c>
      <c r="I71" s="22" t="n">
        <f aca="false">H71*365</f>
        <v>67126.394843715</v>
      </c>
    </row>
    <row r="72" customFormat="false" ht="15" hidden="false" customHeight="false" outlineLevel="0" collapsed="false">
      <c r="A72" s="0" t="s">
        <v>237</v>
      </c>
      <c r="B72" s="0" t="s">
        <v>238</v>
      </c>
      <c r="C72" s="0" t="s">
        <v>79</v>
      </c>
      <c r="D72" s="0" t="s">
        <v>117</v>
      </c>
      <c r="E72" s="24" t="n">
        <v>45979</v>
      </c>
      <c r="F72" s="25" t="n">
        <v>0.636779044347587</v>
      </c>
      <c r="G72" s="0" t="n">
        <v>40</v>
      </c>
      <c r="H72" s="18" t="n">
        <v>125.728484588907</v>
      </c>
      <c r="I72" s="18" t="n">
        <f aca="false">H72*365</f>
        <v>45890.8968749512</v>
      </c>
    </row>
    <row r="73" customFormat="false" ht="15" hidden="false" customHeight="false" outlineLevel="0" collapsed="false">
      <c r="A73" s="21" t="s">
        <v>239</v>
      </c>
      <c r="B73" s="21" t="s">
        <v>240</v>
      </c>
      <c r="C73" s="21" t="s">
        <v>77</v>
      </c>
      <c r="D73" s="21" t="s">
        <v>99</v>
      </c>
      <c r="E73" s="26" t="n">
        <v>45981</v>
      </c>
      <c r="F73" s="27" t="n">
        <v>0.692793688019825</v>
      </c>
      <c r="G73" s="21" t="n">
        <v>40</v>
      </c>
      <c r="H73" s="22" t="n">
        <v>22.6341080502297</v>
      </c>
      <c r="I73" s="22" t="n">
        <f aca="false">H73*365</f>
        <v>8261.44943833383</v>
      </c>
    </row>
    <row r="74" customFormat="false" ht="15" hidden="false" customHeight="false" outlineLevel="0" collapsed="false">
      <c r="A74" s="0" t="s">
        <v>241</v>
      </c>
      <c r="B74" s="0" t="s">
        <v>242</v>
      </c>
      <c r="C74" s="0" t="s">
        <v>79</v>
      </c>
      <c r="D74" s="0" t="s">
        <v>113</v>
      </c>
      <c r="E74" s="24" t="n">
        <v>45983</v>
      </c>
      <c r="F74" s="25" t="n">
        <v>0.242942766763222</v>
      </c>
      <c r="G74" s="0" t="n">
        <v>40</v>
      </c>
      <c r="H74" s="18" t="n">
        <v>15.8968744860364</v>
      </c>
      <c r="I74" s="18" t="n">
        <f aca="false">H74*365</f>
        <v>5802.35918740328</v>
      </c>
    </row>
    <row r="75" customFormat="false" ht="15" hidden="false" customHeight="false" outlineLevel="0" collapsed="false">
      <c r="A75" s="21" t="s">
        <v>243</v>
      </c>
      <c r="B75" s="21" t="s">
        <v>244</v>
      </c>
      <c r="C75" s="21" t="s">
        <v>78</v>
      </c>
      <c r="D75" s="21" t="s">
        <v>98</v>
      </c>
      <c r="E75" s="26" t="n">
        <v>45988</v>
      </c>
      <c r="F75" s="27" t="n">
        <v>0.293446741060323</v>
      </c>
      <c r="G75" s="21" t="n">
        <v>40</v>
      </c>
      <c r="H75" s="22" t="n">
        <v>22.7146827880152</v>
      </c>
      <c r="I75" s="22" t="n">
        <f aca="false">H75*365</f>
        <v>8290.85921762555</v>
      </c>
    </row>
    <row r="76" customFormat="false" ht="15" hidden="false" customHeight="false" outlineLevel="0" collapsed="false">
      <c r="A76" s="0" t="s">
        <v>245</v>
      </c>
      <c r="B76" s="0" t="s">
        <v>246</v>
      </c>
      <c r="C76" s="0" t="s">
        <v>76</v>
      </c>
      <c r="D76" s="0" t="s">
        <v>99</v>
      </c>
      <c r="E76" s="24" t="n">
        <v>45989</v>
      </c>
      <c r="F76" s="25" t="n">
        <v>2.50118251471447</v>
      </c>
      <c r="G76" s="0" t="n">
        <v>40</v>
      </c>
      <c r="H76" s="18" t="n">
        <v>27.4822686982676</v>
      </c>
      <c r="I76" s="18" t="n">
        <f aca="false">H76*365</f>
        <v>10031.0280748677</v>
      </c>
    </row>
    <row r="77" customFormat="false" ht="15" hidden="false" customHeight="false" outlineLevel="0" collapsed="false">
      <c r="A77" s="21" t="s">
        <v>247</v>
      </c>
      <c r="B77" s="21" t="s">
        <v>248</v>
      </c>
      <c r="C77" s="21" t="s">
        <v>75</v>
      </c>
      <c r="D77" s="21" t="s">
        <v>99</v>
      </c>
      <c r="E77" s="26" t="n">
        <v>45990</v>
      </c>
      <c r="F77" s="27" t="n">
        <v>2.61457351982491</v>
      </c>
      <c r="G77" s="21" t="n">
        <v>40</v>
      </c>
      <c r="H77" s="22" t="n">
        <v>20.3634489766977</v>
      </c>
      <c r="I77" s="22" t="n">
        <f aca="false">H77*365</f>
        <v>7432.65887649464</v>
      </c>
    </row>
    <row r="78" customFormat="false" ht="15" hidden="false" customHeight="false" outlineLevel="0" collapsed="false">
      <c r="A78" s="0" t="s">
        <v>249</v>
      </c>
      <c r="B78" s="0" t="s">
        <v>250</v>
      </c>
      <c r="C78" s="0" t="s">
        <v>76</v>
      </c>
      <c r="D78" s="0" t="s">
        <v>99</v>
      </c>
      <c r="E78" s="24" t="n">
        <v>46002</v>
      </c>
      <c r="F78" s="25" t="n">
        <v>2.58538261176958</v>
      </c>
      <c r="G78" s="0" t="n">
        <v>40</v>
      </c>
      <c r="H78" s="18" t="n">
        <v>4.98133324977459</v>
      </c>
      <c r="I78" s="18" t="n">
        <f aca="false">H78*365</f>
        <v>1818.18663616772</v>
      </c>
    </row>
    <row r="79" customFormat="false" ht="15" hidden="false" customHeight="false" outlineLevel="0" collapsed="false">
      <c r="A79" s="21" t="s">
        <v>251</v>
      </c>
      <c r="B79" s="21" t="s">
        <v>252</v>
      </c>
      <c r="C79" s="21" t="s">
        <v>80</v>
      </c>
      <c r="D79" s="21" t="s">
        <v>113</v>
      </c>
      <c r="E79" s="26" t="n">
        <v>46003</v>
      </c>
      <c r="F79" s="27" t="n">
        <v>0.900433667633276</v>
      </c>
      <c r="G79" s="21" t="n">
        <v>40</v>
      </c>
      <c r="H79" s="22" t="n">
        <v>97.4378623225998</v>
      </c>
      <c r="I79" s="22" t="n">
        <f aca="false">H79*365</f>
        <v>35564.8197477489</v>
      </c>
    </row>
    <row r="80" customFormat="false" ht="15" hidden="false" customHeight="false" outlineLevel="0" collapsed="false">
      <c r="A80" s="0" t="s">
        <v>253</v>
      </c>
      <c r="B80" s="0" t="s">
        <v>254</v>
      </c>
      <c r="C80" s="0" t="s">
        <v>76</v>
      </c>
      <c r="D80" s="0" t="s">
        <v>102</v>
      </c>
      <c r="E80" s="24" t="n">
        <v>46004</v>
      </c>
      <c r="F80" s="25" t="n">
        <v>0.484168374091864</v>
      </c>
      <c r="G80" s="0" t="n">
        <v>40</v>
      </c>
      <c r="H80" s="18" t="n">
        <v>21.7531965861238</v>
      </c>
      <c r="I80" s="18" t="n">
        <f aca="false">H80*365</f>
        <v>7939.9167539352</v>
      </c>
    </row>
    <row r="81" customFormat="false" ht="15" hidden="false" customHeight="false" outlineLevel="0" collapsed="false">
      <c r="A81" s="21" t="s">
        <v>255</v>
      </c>
      <c r="B81" s="21" t="s">
        <v>256</v>
      </c>
      <c r="C81" s="21" t="s">
        <v>76</v>
      </c>
      <c r="D81" s="21" t="s">
        <v>102</v>
      </c>
      <c r="E81" s="26" t="n">
        <v>46006</v>
      </c>
      <c r="F81" s="27" t="n">
        <v>0.700983880088202</v>
      </c>
      <c r="G81" s="21" t="n">
        <v>40</v>
      </c>
      <c r="H81" s="22" t="n">
        <v>12.8747216302555</v>
      </c>
      <c r="I81" s="22" t="n">
        <f aca="false">H81*365</f>
        <v>4699.27339504326</v>
      </c>
    </row>
    <row r="82" customFormat="false" ht="15" hidden="false" customHeight="false" outlineLevel="0" collapsed="false">
      <c r="A82" s="0" t="s">
        <v>257</v>
      </c>
      <c r="B82" s="0" t="s">
        <v>258</v>
      </c>
      <c r="C82" s="0" t="s">
        <v>80</v>
      </c>
      <c r="D82" s="0" t="s">
        <v>107</v>
      </c>
      <c r="E82" s="24" t="n">
        <v>46007</v>
      </c>
      <c r="F82" s="25" t="n">
        <v>0.339471232241422</v>
      </c>
      <c r="G82" s="0" t="n">
        <v>40</v>
      </c>
      <c r="H82" s="18" t="n">
        <v>82.8027499441938</v>
      </c>
      <c r="I82" s="18" t="n">
        <f aca="false">H82*365</f>
        <v>30223.0037296308</v>
      </c>
    </row>
    <row r="83" customFormat="false" ht="15" hidden="false" customHeight="false" outlineLevel="0" collapsed="false">
      <c r="A83" s="21" t="s">
        <v>259</v>
      </c>
      <c r="B83" s="21" t="s">
        <v>260</v>
      </c>
      <c r="C83" s="21" t="s">
        <v>79</v>
      </c>
      <c r="D83" s="21" t="s">
        <v>116</v>
      </c>
      <c r="E83" s="26" t="n">
        <v>46010</v>
      </c>
      <c r="F83" s="27" t="n">
        <v>0.89679536919633</v>
      </c>
      <c r="G83" s="21" t="n">
        <v>40</v>
      </c>
      <c r="H83" s="22" t="n">
        <v>404.283590642496</v>
      </c>
      <c r="I83" s="22" t="n">
        <f aca="false">H83*365</f>
        <v>147563.510584511</v>
      </c>
    </row>
    <row r="84" customFormat="false" ht="15" hidden="false" customHeight="false" outlineLevel="0" collapsed="false">
      <c r="A84" s="0" t="s">
        <v>261</v>
      </c>
      <c r="B84" s="0" t="s">
        <v>262</v>
      </c>
      <c r="C84" s="0" t="s">
        <v>75</v>
      </c>
      <c r="D84" s="0" t="s">
        <v>99</v>
      </c>
      <c r="E84" s="24" t="n">
        <v>46021</v>
      </c>
      <c r="F84" s="25" t="n">
        <v>0.779199824408652</v>
      </c>
      <c r="G84" s="0" t="n">
        <v>40</v>
      </c>
      <c r="H84" s="18" t="n">
        <v>501.926890670441</v>
      </c>
      <c r="I84" s="18" t="n">
        <f aca="false">H84*365</f>
        <v>183203.315094711</v>
      </c>
    </row>
    <row r="85" customFormat="false" ht="15" hidden="false" customHeight="false" outlineLevel="0" collapsed="false">
      <c r="A85" s="21" t="s">
        <v>263</v>
      </c>
      <c r="B85" s="21" t="s">
        <v>264</v>
      </c>
      <c r="C85" s="21" t="s">
        <v>76</v>
      </c>
      <c r="D85" s="21" t="s">
        <v>102</v>
      </c>
      <c r="E85" s="26" t="n">
        <v>46022</v>
      </c>
      <c r="F85" s="27" t="n">
        <v>2.51521971678667</v>
      </c>
      <c r="G85" s="21" t="n">
        <v>40</v>
      </c>
      <c r="H85" s="22" t="n">
        <v>97.8715964442305</v>
      </c>
      <c r="I85" s="22" t="n">
        <f aca="false">H85*365</f>
        <v>35723.1327021442</v>
      </c>
    </row>
    <row r="86" customFormat="false" ht="15" hidden="false" customHeight="false" outlineLevel="0" collapsed="false">
      <c r="A86" s="0" t="s">
        <v>265</v>
      </c>
      <c r="B86" s="0" t="s">
        <v>266</v>
      </c>
      <c r="C86" s="0" t="s">
        <v>78</v>
      </c>
      <c r="D86" s="0" t="s">
        <v>107</v>
      </c>
      <c r="E86" s="24" t="n">
        <v>46026</v>
      </c>
      <c r="F86" s="25" t="n">
        <v>0.663552718131399</v>
      </c>
      <c r="G86" s="0" t="n">
        <v>40</v>
      </c>
      <c r="H86" s="18" t="n">
        <v>368.30931815825</v>
      </c>
      <c r="I86" s="18" t="n">
        <f aca="false">H86*365</f>
        <v>134432.901127761</v>
      </c>
    </row>
    <row r="87" customFormat="false" ht="15" hidden="false" customHeight="false" outlineLevel="0" collapsed="false">
      <c r="A87" s="21" t="s">
        <v>267</v>
      </c>
      <c r="B87" s="21" t="s">
        <v>268</v>
      </c>
      <c r="C87" s="21" t="s">
        <v>77</v>
      </c>
      <c r="D87" s="21" t="s">
        <v>99</v>
      </c>
      <c r="E87" s="26" t="n">
        <v>46038</v>
      </c>
      <c r="F87" s="27" t="n">
        <v>0.589723947548778</v>
      </c>
      <c r="G87" s="21" t="n">
        <v>40</v>
      </c>
      <c r="H87" s="22" t="n">
        <v>308.143913990993</v>
      </c>
      <c r="I87" s="22" t="n">
        <f aca="false">H87*365</f>
        <v>112472.528606713</v>
      </c>
    </row>
    <row r="88" customFormat="false" ht="15" hidden="false" customHeight="false" outlineLevel="0" collapsed="false">
      <c r="A88" s="0" t="s">
        <v>269</v>
      </c>
      <c r="B88" s="0" t="s">
        <v>270</v>
      </c>
      <c r="C88" s="0" t="s">
        <v>80</v>
      </c>
      <c r="D88" s="0" t="s">
        <v>99</v>
      </c>
      <c r="E88" s="24" t="n">
        <v>46038</v>
      </c>
      <c r="F88" s="25" t="n">
        <v>0.571263510274972</v>
      </c>
      <c r="G88" s="0" t="n">
        <v>40</v>
      </c>
      <c r="H88" s="18" t="n">
        <v>38.3150797789197</v>
      </c>
      <c r="I88" s="18" t="n">
        <f aca="false">H88*365</f>
        <v>13985.0041193057</v>
      </c>
    </row>
    <row r="89" customFormat="false" ht="15" hidden="false" customHeight="false" outlineLevel="0" collapsed="false">
      <c r="A89" s="21" t="s">
        <v>271</v>
      </c>
      <c r="B89" s="21" t="s">
        <v>272</v>
      </c>
      <c r="C89" s="21" t="s">
        <v>79</v>
      </c>
      <c r="D89" s="21" t="s">
        <v>117</v>
      </c>
      <c r="E89" s="26" t="n">
        <v>46045</v>
      </c>
      <c r="F89" s="27" t="n">
        <v>0.673860060583235</v>
      </c>
      <c r="G89" s="21" t="n">
        <v>40</v>
      </c>
      <c r="H89" s="22" t="n">
        <v>142.807848466262</v>
      </c>
      <c r="I89" s="22" t="n">
        <f aca="false">H89*365</f>
        <v>52124.8646901856</v>
      </c>
    </row>
    <row r="90" customFormat="false" ht="15" hidden="false" customHeight="false" outlineLevel="0" collapsed="false">
      <c r="A90" s="0" t="s">
        <v>273</v>
      </c>
      <c r="B90" s="0" t="s">
        <v>274</v>
      </c>
      <c r="C90" s="0" t="s">
        <v>79</v>
      </c>
      <c r="D90" s="0" t="s">
        <v>110</v>
      </c>
      <c r="E90" s="24" t="n">
        <v>46045</v>
      </c>
      <c r="F90" s="25" t="n">
        <v>2.70608413900677</v>
      </c>
      <c r="G90" s="0" t="n">
        <v>40</v>
      </c>
      <c r="H90" s="18" t="n">
        <v>1.31596867411714</v>
      </c>
      <c r="I90" s="18" t="n">
        <f aca="false">H90*365</f>
        <v>480.328566052754</v>
      </c>
    </row>
    <row r="91" customFormat="false" ht="15" hidden="false" customHeight="false" outlineLevel="0" collapsed="false">
      <c r="A91" s="21" t="s">
        <v>275</v>
      </c>
      <c r="B91" s="21" t="s">
        <v>276</v>
      </c>
      <c r="C91" s="21" t="s">
        <v>78</v>
      </c>
      <c r="D91" s="21" t="s">
        <v>116</v>
      </c>
      <c r="E91" s="26" t="n">
        <v>46046</v>
      </c>
      <c r="F91" s="27" t="n">
        <v>0.512672184453578</v>
      </c>
      <c r="G91" s="21" t="n">
        <v>40</v>
      </c>
      <c r="H91" s="22" t="n">
        <v>4.19284279768356</v>
      </c>
      <c r="I91" s="22" t="n">
        <f aca="false">H91*365</f>
        <v>1530.3876211545</v>
      </c>
    </row>
    <row r="92" customFormat="false" ht="15" hidden="false" customHeight="false" outlineLevel="0" collapsed="false">
      <c r="A92" s="0" t="s">
        <v>277</v>
      </c>
      <c r="B92" s="0" t="s">
        <v>278</v>
      </c>
      <c r="C92" s="0" t="s">
        <v>79</v>
      </c>
      <c r="D92" s="0" t="s">
        <v>99</v>
      </c>
      <c r="E92" s="24" t="n">
        <v>46050</v>
      </c>
      <c r="F92" s="25" t="n">
        <v>0.361333133921874</v>
      </c>
      <c r="G92" s="0" t="n">
        <v>40</v>
      </c>
      <c r="H92" s="18" t="n">
        <v>49.4661005772761</v>
      </c>
      <c r="I92" s="18" t="n">
        <f aca="false">H92*365</f>
        <v>18055.1267107058</v>
      </c>
    </row>
    <row r="93" customFormat="false" ht="15" hidden="false" customHeight="false" outlineLevel="0" collapsed="false">
      <c r="A93" s="21" t="s">
        <v>279</v>
      </c>
      <c r="B93" s="21" t="s">
        <v>280</v>
      </c>
      <c r="C93" s="21" t="s">
        <v>76</v>
      </c>
      <c r="D93" s="21" t="s">
        <v>98</v>
      </c>
      <c r="E93" s="26" t="n">
        <v>46051</v>
      </c>
      <c r="F93" s="27" t="n">
        <v>0.79552054714082</v>
      </c>
      <c r="G93" s="21" t="n">
        <v>40</v>
      </c>
      <c r="H93" s="22" t="n">
        <v>247.822962395617</v>
      </c>
      <c r="I93" s="22" t="n">
        <f aca="false">H93*365</f>
        <v>90455.3812744001</v>
      </c>
    </row>
    <row r="94" customFormat="false" ht="15" hidden="false" customHeight="false" outlineLevel="0" collapsed="false">
      <c r="A94" s="0" t="s">
        <v>281</v>
      </c>
      <c r="B94" s="0" t="s">
        <v>282</v>
      </c>
      <c r="C94" s="0" t="s">
        <v>77</v>
      </c>
      <c r="D94" s="0" t="s">
        <v>99</v>
      </c>
      <c r="E94" s="24" t="n">
        <v>46055</v>
      </c>
      <c r="F94" s="25" t="n">
        <v>0.697370245823256</v>
      </c>
      <c r="G94" s="0" t="n">
        <v>40</v>
      </c>
      <c r="H94" s="18" t="n">
        <v>41.6226146369602</v>
      </c>
      <c r="I94" s="18" t="n">
        <f aca="false">H94*365</f>
        <v>15192.2543424905</v>
      </c>
    </row>
    <row r="95" customFormat="false" ht="15" hidden="false" customHeight="false" outlineLevel="0" collapsed="false">
      <c r="A95" s="21" t="s">
        <v>283</v>
      </c>
      <c r="B95" s="21" t="s">
        <v>284</v>
      </c>
      <c r="C95" s="21" t="s">
        <v>75</v>
      </c>
      <c r="D95" s="21" t="s">
        <v>102</v>
      </c>
      <c r="E95" s="26" t="n">
        <v>46063</v>
      </c>
      <c r="F95" s="27" t="n">
        <v>2.51558402204101</v>
      </c>
      <c r="G95" s="21" t="n">
        <v>40</v>
      </c>
      <c r="H95" s="22" t="n">
        <v>108.433684543926</v>
      </c>
      <c r="I95" s="22" t="n">
        <f aca="false">H95*365</f>
        <v>39578.2948585329</v>
      </c>
    </row>
    <row r="96" customFormat="false" ht="15" hidden="false" customHeight="false" outlineLevel="0" collapsed="false">
      <c r="A96" s="0" t="s">
        <v>285</v>
      </c>
      <c r="B96" s="0" t="s">
        <v>286</v>
      </c>
      <c r="C96" s="0" t="s">
        <v>76</v>
      </c>
      <c r="D96" s="0" t="s">
        <v>117</v>
      </c>
      <c r="E96" s="24" t="n">
        <v>46064</v>
      </c>
      <c r="F96" s="25" t="n">
        <v>0.737880393869262</v>
      </c>
      <c r="G96" s="0" t="n">
        <v>40</v>
      </c>
      <c r="H96" s="18" t="n">
        <v>189.43846726798</v>
      </c>
      <c r="I96" s="18" t="n">
        <f aca="false">H96*365</f>
        <v>69145.0405528127</v>
      </c>
    </row>
    <row r="97" customFormat="false" ht="15" hidden="false" customHeight="false" outlineLevel="0" collapsed="false">
      <c r="A97" s="21" t="s">
        <v>287</v>
      </c>
      <c r="B97" s="21" t="s">
        <v>288</v>
      </c>
      <c r="C97" s="21" t="s">
        <v>75</v>
      </c>
      <c r="D97" s="21" t="s">
        <v>110</v>
      </c>
      <c r="E97" s="26" t="n">
        <v>46067</v>
      </c>
      <c r="F97" s="27" t="n">
        <v>0.963498162004957</v>
      </c>
      <c r="G97" s="21" t="n">
        <v>40</v>
      </c>
      <c r="H97" s="22" t="n">
        <v>987.456150949987</v>
      </c>
      <c r="I97" s="22" t="n">
        <f aca="false">H97*365</f>
        <v>360421.495096745</v>
      </c>
    </row>
    <row r="98" customFormat="false" ht="15" hidden="false" customHeight="false" outlineLevel="0" collapsed="false">
      <c r="A98" s="0" t="s">
        <v>289</v>
      </c>
      <c r="B98" s="0" t="s">
        <v>290</v>
      </c>
      <c r="C98" s="0" t="s">
        <v>78</v>
      </c>
      <c r="D98" s="0" t="s">
        <v>99</v>
      </c>
      <c r="E98" s="24" t="n">
        <v>46072</v>
      </c>
      <c r="F98" s="25" t="n">
        <v>0.930438336650646</v>
      </c>
      <c r="G98" s="0" t="n">
        <v>40</v>
      </c>
      <c r="H98" s="18" t="n">
        <v>60.6479075876558</v>
      </c>
      <c r="I98" s="18" t="n">
        <f aca="false">H98*365</f>
        <v>22136.4862694944</v>
      </c>
    </row>
    <row r="99" customFormat="false" ht="15" hidden="false" customHeight="false" outlineLevel="0" collapsed="false">
      <c r="A99" s="21" t="s">
        <v>291</v>
      </c>
      <c r="B99" s="21" t="s">
        <v>292</v>
      </c>
      <c r="C99" s="21" t="s">
        <v>77</v>
      </c>
      <c r="D99" s="21" t="s">
        <v>98</v>
      </c>
      <c r="E99" s="26" t="n">
        <v>46073</v>
      </c>
      <c r="F99" s="27" t="n">
        <v>0.75005561018249</v>
      </c>
      <c r="G99" s="21" t="n">
        <v>40</v>
      </c>
      <c r="H99" s="22" t="n">
        <v>170.766218762822</v>
      </c>
      <c r="I99" s="22" t="n">
        <f aca="false">H99*365</f>
        <v>62329.6698484302</v>
      </c>
    </row>
    <row r="100" customFormat="false" ht="15" hidden="false" customHeight="false" outlineLevel="0" collapsed="false">
      <c r="A100" s="0" t="s">
        <v>293</v>
      </c>
      <c r="B100" s="0" t="s">
        <v>294</v>
      </c>
      <c r="C100" s="0" t="s">
        <v>79</v>
      </c>
      <c r="D100" s="0" t="s">
        <v>107</v>
      </c>
      <c r="E100" s="24" t="n">
        <v>46077</v>
      </c>
      <c r="F100" s="25" t="n">
        <v>2.48312236975315</v>
      </c>
      <c r="G100" s="0" t="n">
        <v>40</v>
      </c>
      <c r="H100" s="18" t="n">
        <v>6.14514268071903</v>
      </c>
      <c r="I100" s="18" t="n">
        <f aca="false">H100*365</f>
        <v>2242.97707846244</v>
      </c>
    </row>
    <row r="101" customFormat="false" ht="15" hidden="false" customHeight="false" outlineLevel="0" collapsed="false">
      <c r="A101" s="21" t="s">
        <v>295</v>
      </c>
      <c r="B101" s="21" t="s">
        <v>296</v>
      </c>
      <c r="C101" s="21" t="s">
        <v>75</v>
      </c>
      <c r="D101" s="21" t="s">
        <v>102</v>
      </c>
      <c r="E101" s="26" t="n">
        <v>46078</v>
      </c>
      <c r="F101" s="27" t="n">
        <v>2.65107030303299</v>
      </c>
      <c r="G101" s="21" t="n">
        <v>40</v>
      </c>
      <c r="H101" s="22" t="n">
        <v>116.490860794657</v>
      </c>
      <c r="I101" s="22" t="n">
        <f aca="false">H101*365</f>
        <v>42519.1641900496</v>
      </c>
    </row>
    <row r="102" customFormat="false" ht="15" hidden="false" customHeight="false" outlineLevel="0" collapsed="false">
      <c r="A102" s="0" t="s">
        <v>297</v>
      </c>
      <c r="B102" s="0" t="s">
        <v>298</v>
      </c>
      <c r="C102" s="0" t="s">
        <v>80</v>
      </c>
      <c r="D102" s="0" t="s">
        <v>102</v>
      </c>
      <c r="E102" s="24" t="n">
        <v>46082</v>
      </c>
      <c r="F102" s="25" t="n">
        <v>0.340304678051121</v>
      </c>
      <c r="G102" s="0" t="n">
        <v>40</v>
      </c>
      <c r="H102" s="18" t="n">
        <v>33.2415547872256</v>
      </c>
      <c r="I102" s="18" t="n">
        <f aca="false">H102*365</f>
        <v>12133.1674973373</v>
      </c>
    </row>
    <row r="103" customFormat="false" ht="15" hidden="false" customHeight="false" outlineLevel="0" collapsed="false">
      <c r="A103" s="21" t="s">
        <v>299</v>
      </c>
      <c r="B103" s="21" t="s">
        <v>300</v>
      </c>
      <c r="C103" s="21" t="s">
        <v>76</v>
      </c>
      <c r="D103" s="21" t="s">
        <v>110</v>
      </c>
      <c r="E103" s="26" t="n">
        <v>46088</v>
      </c>
      <c r="F103" s="27" t="n">
        <v>0.427369931048304</v>
      </c>
      <c r="G103" s="21" t="n">
        <v>40</v>
      </c>
      <c r="H103" s="22" t="n">
        <v>39.6733323575323</v>
      </c>
      <c r="I103" s="22" t="n">
        <f aca="false">H103*365</f>
        <v>14480.7663104993</v>
      </c>
    </row>
    <row r="104" customFormat="false" ht="15" hidden="false" customHeight="false" outlineLevel="0" collapsed="false">
      <c r="A104" s="0" t="s">
        <v>301</v>
      </c>
      <c r="B104" s="0" t="s">
        <v>302</v>
      </c>
      <c r="C104" s="0" t="s">
        <v>76</v>
      </c>
      <c r="D104" s="0" t="s">
        <v>110</v>
      </c>
      <c r="E104" s="24" t="n">
        <v>46088</v>
      </c>
      <c r="F104" s="25" t="n">
        <v>0.920036373272213</v>
      </c>
      <c r="G104" s="0" t="n">
        <v>40</v>
      </c>
      <c r="H104" s="18" t="n">
        <v>59.1629309704918</v>
      </c>
      <c r="I104" s="18" t="n">
        <f aca="false">H104*365</f>
        <v>21594.4698042295</v>
      </c>
    </row>
    <row r="105" customFormat="false" ht="15" hidden="false" customHeight="false" outlineLevel="0" collapsed="false">
      <c r="A105" s="21" t="s">
        <v>303</v>
      </c>
      <c r="B105" s="21" t="s">
        <v>304</v>
      </c>
      <c r="C105" s="21" t="s">
        <v>75</v>
      </c>
      <c r="D105" s="21" t="s">
        <v>116</v>
      </c>
      <c r="E105" s="26" t="n">
        <v>46089</v>
      </c>
      <c r="F105" s="27" t="n">
        <v>0.540159741117189</v>
      </c>
      <c r="G105" s="21" t="n">
        <v>40</v>
      </c>
      <c r="H105" s="22" t="n">
        <v>78.8083201775249</v>
      </c>
      <c r="I105" s="22" t="n">
        <f aca="false">H105*365</f>
        <v>28765.0368647966</v>
      </c>
    </row>
    <row r="106" customFormat="false" ht="15" hidden="false" customHeight="false" outlineLevel="0" collapsed="false">
      <c r="A106" s="0" t="s">
        <v>305</v>
      </c>
      <c r="B106" s="0" t="s">
        <v>306</v>
      </c>
      <c r="C106" s="0" t="s">
        <v>79</v>
      </c>
      <c r="D106" s="0" t="s">
        <v>99</v>
      </c>
      <c r="E106" s="24" t="n">
        <v>46102</v>
      </c>
      <c r="F106" s="25" t="n">
        <v>2.50249218477548</v>
      </c>
      <c r="G106" s="0" t="n">
        <v>40</v>
      </c>
      <c r="H106" s="18" t="n">
        <v>55.3146068080563</v>
      </c>
      <c r="I106" s="18" t="n">
        <f aca="false">H106*365</f>
        <v>20189.8314849405</v>
      </c>
    </row>
    <row r="107" customFormat="false" ht="15" hidden="false" customHeight="false" outlineLevel="0" collapsed="false">
      <c r="A107" s="21" t="s">
        <v>307</v>
      </c>
      <c r="B107" s="21" t="s">
        <v>308</v>
      </c>
      <c r="C107" s="21" t="s">
        <v>75</v>
      </c>
      <c r="D107" s="21" t="s">
        <v>98</v>
      </c>
      <c r="E107" s="26" t="n">
        <v>46103</v>
      </c>
      <c r="F107" s="27" t="n">
        <v>2.51908053640887</v>
      </c>
      <c r="G107" s="21" t="n">
        <v>40</v>
      </c>
      <c r="H107" s="22" t="n">
        <v>296.870112040763</v>
      </c>
      <c r="I107" s="22" t="n">
        <f aca="false">H107*365</f>
        <v>108357.590894878</v>
      </c>
    </row>
    <row r="108" customFormat="false" ht="15" hidden="false" customHeight="false" outlineLevel="0" collapsed="false">
      <c r="A108" s="0" t="s">
        <v>309</v>
      </c>
      <c r="B108" s="0" t="s">
        <v>310</v>
      </c>
      <c r="C108" s="0" t="s">
        <v>75</v>
      </c>
      <c r="D108" s="0" t="s">
        <v>98</v>
      </c>
      <c r="E108" s="24" t="n">
        <v>46105</v>
      </c>
      <c r="F108" s="25" t="n">
        <v>2.38959267566093</v>
      </c>
      <c r="G108" s="0" t="n">
        <v>40</v>
      </c>
      <c r="H108" s="18" t="n">
        <v>39.9349653287605</v>
      </c>
      <c r="I108" s="18" t="n">
        <f aca="false">H108*365</f>
        <v>14576.2623449976</v>
      </c>
    </row>
    <row r="109" customFormat="false" ht="15" hidden="false" customHeight="false" outlineLevel="0" collapsed="false">
      <c r="A109" s="21" t="s">
        <v>311</v>
      </c>
      <c r="B109" s="21" t="s">
        <v>312</v>
      </c>
      <c r="C109" s="21" t="s">
        <v>75</v>
      </c>
      <c r="D109" s="21" t="s">
        <v>117</v>
      </c>
      <c r="E109" s="26" t="n">
        <v>46110</v>
      </c>
      <c r="F109" s="27" t="n">
        <v>0.517704145145519</v>
      </c>
      <c r="G109" s="21" t="n">
        <v>40</v>
      </c>
      <c r="H109" s="22" t="n">
        <v>84.4503229198641</v>
      </c>
      <c r="I109" s="22" t="n">
        <f aca="false">H109*365</f>
        <v>30824.3678657504</v>
      </c>
    </row>
    <row r="110" customFormat="false" ht="15" hidden="false" customHeight="false" outlineLevel="0" collapsed="false">
      <c r="A110" s="0" t="s">
        <v>313</v>
      </c>
      <c r="B110" s="0" t="s">
        <v>314</v>
      </c>
      <c r="C110" s="0" t="s">
        <v>80</v>
      </c>
      <c r="D110" s="0" t="s">
        <v>117</v>
      </c>
      <c r="E110" s="24" t="n">
        <v>46110</v>
      </c>
      <c r="F110" s="25" t="n">
        <v>0.235762976359666</v>
      </c>
      <c r="G110" s="0" t="n">
        <v>40</v>
      </c>
      <c r="H110" s="18" t="n">
        <v>120.745500431468</v>
      </c>
      <c r="I110" s="18" t="n">
        <f aca="false">H110*365</f>
        <v>44072.1076574859</v>
      </c>
    </row>
    <row r="111" customFormat="false" ht="15" hidden="false" customHeight="false" outlineLevel="0" collapsed="false">
      <c r="A111" s="21" t="s">
        <v>315</v>
      </c>
      <c r="B111" s="21" t="s">
        <v>316</v>
      </c>
      <c r="C111" s="21" t="s">
        <v>80</v>
      </c>
      <c r="D111" s="21" t="s">
        <v>116</v>
      </c>
      <c r="E111" s="26" t="n">
        <v>46117</v>
      </c>
      <c r="F111" s="27" t="n">
        <v>0.467515223953697</v>
      </c>
      <c r="G111" s="21" t="n">
        <v>40</v>
      </c>
      <c r="H111" s="22" t="n">
        <v>120.124309487533</v>
      </c>
      <c r="I111" s="22" t="n">
        <f aca="false">H111*365</f>
        <v>43845.3729629494</v>
      </c>
    </row>
    <row r="112" customFormat="false" ht="15" hidden="false" customHeight="false" outlineLevel="0" collapsed="false">
      <c r="A112" s="0" t="s">
        <v>317</v>
      </c>
      <c r="B112" s="0" t="s">
        <v>318</v>
      </c>
      <c r="C112" s="0" t="s">
        <v>79</v>
      </c>
      <c r="D112" s="0" t="s">
        <v>107</v>
      </c>
      <c r="E112" s="24" t="n">
        <v>46124</v>
      </c>
      <c r="F112" s="25" t="n">
        <v>2.55951219387562</v>
      </c>
      <c r="G112" s="0" t="n">
        <v>40</v>
      </c>
      <c r="H112" s="18" t="n">
        <v>40.4524572892543</v>
      </c>
      <c r="I112" s="18" t="n">
        <f aca="false">H112*365</f>
        <v>14765.1469105778</v>
      </c>
    </row>
    <row r="113" customFormat="false" ht="15" hidden="false" customHeight="false" outlineLevel="0" collapsed="false">
      <c r="A113" s="21" t="s">
        <v>319</v>
      </c>
      <c r="B113" s="21" t="s">
        <v>320</v>
      </c>
      <c r="C113" s="21" t="s">
        <v>78</v>
      </c>
      <c r="D113" s="21" t="s">
        <v>110</v>
      </c>
      <c r="E113" s="26" t="n">
        <v>46124</v>
      </c>
      <c r="F113" s="27" t="n">
        <v>0.473177405601564</v>
      </c>
      <c r="G113" s="21" t="n">
        <v>40</v>
      </c>
      <c r="H113" s="22" t="n">
        <v>14.2455108037234</v>
      </c>
      <c r="I113" s="22" t="n">
        <f aca="false">H113*365</f>
        <v>5199.61144335905</v>
      </c>
    </row>
    <row r="114" customFormat="false" ht="15" hidden="false" customHeight="false" outlineLevel="0" collapsed="false">
      <c r="A114" s="0" t="s">
        <v>321</v>
      </c>
      <c r="B114" s="0" t="s">
        <v>322</v>
      </c>
      <c r="C114" s="0" t="s">
        <v>79</v>
      </c>
      <c r="D114" s="0" t="s">
        <v>99</v>
      </c>
      <c r="E114" s="24" t="n">
        <v>46125</v>
      </c>
      <c r="F114" s="25" t="n">
        <v>0.790566713682025</v>
      </c>
      <c r="G114" s="0" t="n">
        <v>40</v>
      </c>
      <c r="H114" s="18" t="n">
        <v>175.757824248089</v>
      </c>
      <c r="I114" s="18" t="n">
        <f aca="false">H114*365</f>
        <v>64151.6058505525</v>
      </c>
    </row>
    <row r="115" customFormat="false" ht="15" hidden="false" customHeight="false" outlineLevel="0" collapsed="false">
      <c r="A115" s="21" t="s">
        <v>323</v>
      </c>
      <c r="B115" s="21" t="s">
        <v>324</v>
      </c>
      <c r="C115" s="21" t="s">
        <v>76</v>
      </c>
      <c r="D115" s="21" t="s">
        <v>98</v>
      </c>
      <c r="E115" s="26" t="n">
        <v>46128</v>
      </c>
      <c r="F115" s="27" t="n">
        <v>0.644374030967112</v>
      </c>
      <c r="G115" s="21" t="n">
        <v>40</v>
      </c>
      <c r="H115" s="22" t="n">
        <v>40.0432529845594</v>
      </c>
      <c r="I115" s="22" t="n">
        <f aca="false">H115*365</f>
        <v>14615.7873393642</v>
      </c>
    </row>
    <row r="116" customFormat="false" ht="15" hidden="false" customHeight="false" outlineLevel="0" collapsed="false">
      <c r="A116" s="0" t="s">
        <v>325</v>
      </c>
      <c r="B116" s="0" t="s">
        <v>326</v>
      </c>
      <c r="C116" s="0" t="s">
        <v>80</v>
      </c>
      <c r="D116" s="0" t="s">
        <v>113</v>
      </c>
      <c r="E116" s="24" t="n">
        <v>46130</v>
      </c>
      <c r="F116" s="25" t="n">
        <v>0.886390154679958</v>
      </c>
      <c r="G116" s="0" t="n">
        <v>40</v>
      </c>
      <c r="H116" s="18" t="n">
        <v>53.5771725871842</v>
      </c>
      <c r="I116" s="18" t="n">
        <f aca="false">H116*365</f>
        <v>19555.6679943222</v>
      </c>
    </row>
    <row r="117" customFormat="false" ht="15" hidden="false" customHeight="false" outlineLevel="0" collapsed="false">
      <c r="A117" s="21" t="s">
        <v>327</v>
      </c>
      <c r="B117" s="21" t="s">
        <v>328</v>
      </c>
      <c r="C117" s="21" t="s">
        <v>80</v>
      </c>
      <c r="D117" s="21" t="s">
        <v>99</v>
      </c>
      <c r="E117" s="26" t="n">
        <v>46132</v>
      </c>
      <c r="F117" s="27" t="n">
        <v>0.568015298551291</v>
      </c>
      <c r="G117" s="21" t="n">
        <v>40</v>
      </c>
      <c r="H117" s="22" t="n">
        <v>198.769941343433</v>
      </c>
      <c r="I117" s="22" t="n">
        <f aca="false">H117*365</f>
        <v>72551.0285903529</v>
      </c>
    </row>
    <row r="118" customFormat="false" ht="15" hidden="false" customHeight="false" outlineLevel="0" collapsed="false">
      <c r="A118" s="0" t="s">
        <v>329</v>
      </c>
      <c r="B118" s="0" t="s">
        <v>330</v>
      </c>
      <c r="C118" s="0" t="s">
        <v>75</v>
      </c>
      <c r="D118" s="0" t="s">
        <v>102</v>
      </c>
      <c r="E118" s="24" t="n">
        <v>46134</v>
      </c>
      <c r="F118" s="25" t="n">
        <v>0.771126052180809</v>
      </c>
      <c r="G118" s="0" t="n">
        <v>40</v>
      </c>
      <c r="H118" s="18" t="n">
        <v>240.994172201364</v>
      </c>
      <c r="I118" s="18" t="n">
        <f aca="false">H118*365</f>
        <v>87962.8728534979</v>
      </c>
    </row>
    <row r="119" customFormat="false" ht="15" hidden="false" customHeight="false" outlineLevel="0" collapsed="false">
      <c r="A119" s="21" t="s">
        <v>331</v>
      </c>
      <c r="B119" s="21" t="s">
        <v>332</v>
      </c>
      <c r="C119" s="21" t="s">
        <v>76</v>
      </c>
      <c r="D119" s="21" t="s">
        <v>102</v>
      </c>
      <c r="E119" s="26" t="n">
        <v>46145</v>
      </c>
      <c r="F119" s="27" t="n">
        <v>0.83167815906352</v>
      </c>
      <c r="G119" s="21" t="n">
        <v>40</v>
      </c>
      <c r="H119" s="22" t="n">
        <v>38.4847868064733</v>
      </c>
      <c r="I119" s="22" t="n">
        <f aca="false">H119*365</f>
        <v>14046.9471843627</v>
      </c>
    </row>
    <row r="120" customFormat="false" ht="15" hidden="false" customHeight="false" outlineLevel="0" collapsed="false">
      <c r="A120" s="0" t="s">
        <v>333</v>
      </c>
      <c r="B120" s="0" t="s">
        <v>334</v>
      </c>
      <c r="C120" s="0" t="s">
        <v>77</v>
      </c>
      <c r="D120" s="0" t="s">
        <v>110</v>
      </c>
      <c r="E120" s="24" t="n">
        <v>46149</v>
      </c>
      <c r="F120" s="25" t="n">
        <v>0.36205616440503</v>
      </c>
      <c r="G120" s="0" t="n">
        <v>40</v>
      </c>
      <c r="H120" s="18" t="n">
        <v>21.8487867587955</v>
      </c>
      <c r="I120" s="18" t="n">
        <f aca="false">H120*365</f>
        <v>7974.80716696035</v>
      </c>
    </row>
    <row r="121" customFormat="false" ht="15" hidden="false" customHeight="false" outlineLevel="0" collapsed="false">
      <c r="A121" s="21" t="s">
        <v>335</v>
      </c>
      <c r="B121" s="21" t="s">
        <v>336</v>
      </c>
      <c r="C121" s="21" t="s">
        <v>80</v>
      </c>
      <c r="D121" s="21" t="s">
        <v>98</v>
      </c>
      <c r="E121" s="26" t="n">
        <v>46150</v>
      </c>
      <c r="F121" s="27" t="n">
        <v>0.180670321268518</v>
      </c>
      <c r="G121" s="21" t="n">
        <v>40</v>
      </c>
      <c r="H121" s="22" t="n">
        <v>69.0894958860386</v>
      </c>
      <c r="I121" s="22" t="n">
        <f aca="false">H121*365</f>
        <v>25217.6659984041</v>
      </c>
    </row>
    <row r="122" customFormat="false" ht="15" hidden="false" customHeight="false" outlineLevel="0" collapsed="false">
      <c r="A122" s="0" t="s">
        <v>337</v>
      </c>
      <c r="B122" s="0" t="s">
        <v>338</v>
      </c>
      <c r="C122" s="0" t="s">
        <v>80</v>
      </c>
      <c r="D122" s="0" t="s">
        <v>117</v>
      </c>
      <c r="E122" s="24" t="n">
        <v>46150</v>
      </c>
      <c r="F122" s="25" t="n">
        <v>2.46826903444929</v>
      </c>
      <c r="G122" s="0" t="n">
        <v>40</v>
      </c>
      <c r="H122" s="18" t="n">
        <v>48.9708301826171</v>
      </c>
      <c r="I122" s="18" t="n">
        <f aca="false">H122*365</f>
        <v>17874.3530166552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22"/>
    <col collapsed="false" customWidth="true" hidden="false" outlineLevel="0" max="18" min="4" style="0" width="13"/>
  </cols>
  <sheetData>
    <row r="1" customFormat="false" ht="19.7" hidden="false" customHeight="false" outlineLevel="0" collapsed="false">
      <c r="A1" s="1" t="s">
        <v>339</v>
      </c>
    </row>
    <row r="2" customFormat="false" ht="15" hidden="false" customHeight="false" outlineLevel="0" collapsed="false">
      <c r="A2" s="2" t="s">
        <v>340</v>
      </c>
    </row>
    <row r="3" customFormat="false" ht="15" hidden="false" customHeight="false" outlineLevel="0" collapsed="false">
      <c r="A3" s="3" t="s">
        <v>2</v>
      </c>
    </row>
    <row r="4" customFormat="false" ht="15" hidden="false" customHeight="false" outlineLevel="0" collapsed="false">
      <c r="A4" s="3" t="s">
        <v>341</v>
      </c>
    </row>
    <row r="5" customFormat="false" ht="30" hidden="false" customHeight="true" outlineLevel="0" collapsed="false">
      <c r="A5" s="6" t="s">
        <v>87</v>
      </c>
      <c r="B5" s="6" t="s">
        <v>70</v>
      </c>
      <c r="C5" s="6" t="s">
        <v>89</v>
      </c>
      <c r="D5" s="6" t="s">
        <v>94</v>
      </c>
      <c r="E5" s="6" t="s">
        <v>342</v>
      </c>
      <c r="F5" s="6" t="s">
        <v>343</v>
      </c>
      <c r="G5" s="6" t="s">
        <v>344</v>
      </c>
      <c r="H5" s="6" t="s">
        <v>345</v>
      </c>
      <c r="I5" s="6" t="s">
        <v>346</v>
      </c>
      <c r="J5" s="6" t="s">
        <v>347</v>
      </c>
      <c r="K5" s="6" t="s">
        <v>348</v>
      </c>
      <c r="L5" s="6" t="s">
        <v>349</v>
      </c>
      <c r="M5" s="6" t="s">
        <v>350</v>
      </c>
      <c r="N5" s="6" t="s">
        <v>351</v>
      </c>
      <c r="O5" s="28" t="s">
        <v>352</v>
      </c>
      <c r="P5" s="28" t="s">
        <v>353</v>
      </c>
      <c r="Q5" s="28" t="s">
        <v>354</v>
      </c>
      <c r="R5" s="6" t="s">
        <v>355</v>
      </c>
    </row>
    <row r="6" customFormat="false" ht="15" hidden="false" customHeight="false" outlineLevel="0" collapsed="false">
      <c r="A6" s="15" t="str">
        <f aca="false">'03 Optimization Events'!A6</f>
        <v>i-114</v>
      </c>
      <c r="B6" s="15" t="str">
        <f aca="false">'03 Optimization Events'!C6</f>
        <v>bu-search</v>
      </c>
      <c r="C6" s="15" t="str">
        <f aca="false">'03 Optimization Events'!D6</f>
        <v>delete_orphaned_volume</v>
      </c>
      <c r="D6" s="8" t="n">
        <f aca="false">'03 Optimization Events'!I6</f>
        <v>45751.4169722588</v>
      </c>
      <c r="E6" s="25" t="n">
        <v>-0.101825904215908</v>
      </c>
      <c r="F6" s="18" t="n">
        <f aca="false">-(EXP(E6)-1)*D6</f>
        <v>4429.34204273505</v>
      </c>
      <c r="G6" s="25" t="n">
        <v>-0.192587440579528</v>
      </c>
      <c r="H6" s="29" t="n">
        <f aca="false">EXP(-0.459706669454089)-1</f>
        <v>-0.368531152555348</v>
      </c>
      <c r="I6" s="29" t="n">
        <f aca="false">EXP(0.0745317882950329)-1</f>
        <v>0.0773795910382193</v>
      </c>
      <c r="J6" s="25" t="n">
        <v>0.170731707317073</v>
      </c>
      <c r="K6" s="30" t="b">
        <f aca="false">TRUE()</f>
        <v>1</v>
      </c>
      <c r="L6" s="30" t="b">
        <f aca="false">IF('10 Assumptions'!$B$24="Yes",TRUE(),K6)</f>
        <v>1</v>
      </c>
      <c r="M6" s="18" t="n">
        <f aca="false">-(EXP(G6)-1)*D6</f>
        <v>8014.63293261375</v>
      </c>
      <c r="N6" s="18" t="n">
        <f aca="false">IF(L6,M6,0)</f>
        <v>8014.63293261375</v>
      </c>
      <c r="O6" s="31" t="n">
        <v>0</v>
      </c>
      <c r="P6" s="32" t="n">
        <f aca="false">-(EXP(O6)-1)*D6</f>
        <v>-0</v>
      </c>
      <c r="Q6" s="32" t="n">
        <f aca="false">ABS(F6-P6)</f>
        <v>4429.34204273505</v>
      </c>
      <c r="R6" s="30" t="b">
        <f aca="false">TRUE()</f>
        <v>1</v>
      </c>
    </row>
    <row r="7" customFormat="false" ht="15" hidden="false" customHeight="false" outlineLevel="0" collapsed="false">
      <c r="A7" s="33" t="str">
        <f aca="false">'03 Optimization Events'!A7</f>
        <v>i-028</v>
      </c>
      <c r="B7" s="33" t="str">
        <f aca="false">'03 Optimization Events'!C7</f>
        <v>bu-datasci</v>
      </c>
      <c r="C7" s="33" t="str">
        <f aca="false">'03 Optimization Events'!D7</f>
        <v>delete_orphaned_volume</v>
      </c>
      <c r="D7" s="34" t="n">
        <f aca="false">'03 Optimization Events'!I7</f>
        <v>7320.63896754227</v>
      </c>
      <c r="E7" s="27" t="n">
        <v>-1.11105300043272</v>
      </c>
      <c r="F7" s="22" t="n">
        <f aca="false">-(EXP(E7)-1)*D7</f>
        <v>4910.595907986</v>
      </c>
      <c r="G7" s="27" t="n">
        <v>-1.104247526516</v>
      </c>
      <c r="H7" s="35" t="n">
        <f aca="false">EXP(-1.47780584943431)-1</f>
        <v>-0.771862291894774</v>
      </c>
      <c r="I7" s="35" t="n">
        <f aca="false">EXP(-0.730689203597679)-1</f>
        <v>-0.518423028892041</v>
      </c>
      <c r="J7" s="27" t="n">
        <v>0.024390243902439</v>
      </c>
      <c r="K7" s="36" t="b">
        <f aca="false">TRUE()</f>
        <v>1</v>
      </c>
      <c r="L7" s="36" t="b">
        <f aca="false">IF('10 Assumptions'!$B$24="Yes",TRUE(),K7)</f>
        <v>1</v>
      </c>
      <c r="M7" s="22" t="n">
        <f aca="false">-(EXP(G7)-1)*D7</f>
        <v>4894.13848604616</v>
      </c>
      <c r="N7" s="22" t="n">
        <f aca="false">IF(L7,M7,0)</f>
        <v>4894.13848604616</v>
      </c>
      <c r="O7" s="31" t="n">
        <v>-0.941618771087132</v>
      </c>
      <c r="P7" s="32" t="n">
        <f aca="false">-(EXP(O7)-1)*D7</f>
        <v>4465.61898071261</v>
      </c>
      <c r="Q7" s="32" t="n">
        <f aca="false">ABS(F7-P7)</f>
        <v>444.976927273387</v>
      </c>
      <c r="R7" s="36" t="b">
        <f aca="false">FALSE()</f>
        <v>0</v>
      </c>
    </row>
    <row r="8" customFormat="false" ht="15" hidden="false" customHeight="false" outlineLevel="0" collapsed="false">
      <c r="A8" s="15" t="str">
        <f aca="false">'03 Optimization Events'!A8</f>
        <v>i-088</v>
      </c>
      <c r="B8" s="15" t="str">
        <f aca="false">'03 Optimization Events'!C8</f>
        <v>bu-platform</v>
      </c>
      <c r="C8" s="15" t="str">
        <f aca="false">'03 Optimization Events'!D8</f>
        <v>cache_inference_results</v>
      </c>
      <c r="D8" s="8" t="n">
        <f aca="false">'03 Optimization Events'!I8</f>
        <v>3227.68891648946</v>
      </c>
      <c r="E8" s="25" t="n">
        <v>0.0825221205006304</v>
      </c>
      <c r="F8" s="18" t="n">
        <f aca="false">-(EXP(E8)-1)*D8</f>
        <v>-277.654504185781</v>
      </c>
      <c r="G8" s="25" t="n">
        <v>-0.00407266541790139</v>
      </c>
      <c r="H8" s="29" t="n">
        <f aca="false">EXP(-0.236238693848157)-1</f>
        <v>-0.210407819358469</v>
      </c>
      <c r="I8" s="29" t="n">
        <f aca="false">EXP(0.228093363012354)-1</f>
        <v>0.2562026028167</v>
      </c>
      <c r="J8" s="25" t="n">
        <v>0.951219512195122</v>
      </c>
      <c r="K8" s="30" t="b">
        <f aca="false">TRUE()</f>
        <v>1</v>
      </c>
      <c r="L8" s="30" t="b">
        <f aca="false">IF('10 Assumptions'!$B$24="Yes",TRUE(),K8)</f>
        <v>1</v>
      </c>
      <c r="M8" s="18" t="n">
        <f aca="false">-(EXP(G8)-1)*D8</f>
        <v>13.1185651339552</v>
      </c>
      <c r="N8" s="18" t="n">
        <f aca="false">IF(L8,M8,0)</f>
        <v>13.1185651339552</v>
      </c>
      <c r="O8" s="31" t="n">
        <v>0</v>
      </c>
      <c r="P8" s="32" t="n">
        <f aca="false">-(EXP(O8)-1)*D8</f>
        <v>-0</v>
      </c>
      <c r="Q8" s="32" t="n">
        <f aca="false">ABS(F8-P8)</f>
        <v>277.654504185781</v>
      </c>
      <c r="R8" s="30" t="b">
        <f aca="false">TRUE()</f>
        <v>1</v>
      </c>
    </row>
    <row r="9" customFormat="false" ht="15" hidden="false" customHeight="false" outlineLevel="0" collapsed="false">
      <c r="A9" s="33" t="str">
        <f aca="false">'03 Optimization Events'!A9</f>
        <v>i-027</v>
      </c>
      <c r="B9" s="33" t="str">
        <f aca="false">'03 Optimization Events'!C9</f>
        <v>bu-platform</v>
      </c>
      <c r="C9" s="33" t="str">
        <f aca="false">'03 Optimization Events'!D9</f>
        <v>cache_inference_results</v>
      </c>
      <c r="D9" s="34" t="n">
        <f aca="false">'03 Optimization Events'!I9</f>
        <v>17214.8671786304</v>
      </c>
      <c r="E9" s="27" t="n">
        <v>-0.596435229135619</v>
      </c>
      <c r="F9" s="22" t="n">
        <f aca="false">-(EXP(E9)-1)*D9</f>
        <v>7733.40870198452</v>
      </c>
      <c r="G9" s="27" t="n">
        <v>-0.691415139038609</v>
      </c>
      <c r="H9" s="35" t="n">
        <f aca="false">EXP(-0.94473403500977)-1</f>
        <v>-0.611217040191664</v>
      </c>
      <c r="I9" s="35" t="n">
        <f aca="false">EXP(-0.438096243067447)-1</f>
        <v>-0.354736322286908</v>
      </c>
      <c r="J9" s="27" t="n">
        <v>0.024390243902439</v>
      </c>
      <c r="K9" s="36" t="b">
        <f aca="false">TRUE()</f>
        <v>1</v>
      </c>
      <c r="L9" s="36" t="b">
        <f aca="false">IF('10 Assumptions'!$B$24="Yes",TRUE(),K9)</f>
        <v>1</v>
      </c>
      <c r="M9" s="22" t="n">
        <f aca="false">-(EXP(G9)-1)*D9</f>
        <v>8592.51223847708</v>
      </c>
      <c r="N9" s="22" t="n">
        <f aca="false">IF(L9,M9,0)</f>
        <v>8592.51223847708</v>
      </c>
      <c r="O9" s="31" t="n">
        <v>-1.02584559689676</v>
      </c>
      <c r="P9" s="32" t="n">
        <f aca="false">-(EXP(O9)-1)*D9</f>
        <v>11043.4544169922</v>
      </c>
      <c r="Q9" s="32" t="n">
        <f aca="false">ABS(F9-P9)</f>
        <v>3310.04571500763</v>
      </c>
      <c r="R9" s="36" t="b">
        <f aca="false">FALSE()</f>
        <v>0</v>
      </c>
    </row>
    <row r="10" customFormat="false" ht="15" hidden="false" customHeight="false" outlineLevel="0" collapsed="false">
      <c r="A10" s="15" t="str">
        <f aca="false">'03 Optimization Events'!A10</f>
        <v>i-030</v>
      </c>
      <c r="B10" s="15" t="str">
        <f aca="false">'03 Optimization Events'!C10</f>
        <v>bu-checkout</v>
      </c>
      <c r="C10" s="15" t="str">
        <f aca="false">'03 Optimization Events'!D10</f>
        <v>enable_autoscaling</v>
      </c>
      <c r="D10" s="8" t="n">
        <f aca="false">'03 Optimization Events'!I10</f>
        <v>24332.0343491331</v>
      </c>
      <c r="E10" s="25" t="n">
        <v>-1.00683435259369</v>
      </c>
      <c r="F10" s="18" t="n">
        <f aca="false">-(EXP(E10)-1)*D10</f>
        <v>15441.7466105276</v>
      </c>
      <c r="G10" s="25" t="n">
        <v>-1.06039919815669</v>
      </c>
      <c r="H10" s="29" t="n">
        <f aca="false">EXP(-1.3078909391039)-1</f>
        <v>-0.729610276164901</v>
      </c>
      <c r="I10" s="29" t="n">
        <f aca="false">EXP(-0.812907457209481)-1</f>
        <v>-0.556433461128833</v>
      </c>
      <c r="J10" s="25" t="n">
        <v>0.024390243902439</v>
      </c>
      <c r="K10" s="30" t="b">
        <f aca="false">TRUE()</f>
        <v>1</v>
      </c>
      <c r="L10" s="30" t="b">
        <f aca="false">IF('10 Assumptions'!$B$24="Yes",TRUE(),K10)</f>
        <v>1</v>
      </c>
      <c r="M10" s="18" t="n">
        <f aca="false">-(EXP(G10)-1)*D10</f>
        <v>15905.4242304701</v>
      </c>
      <c r="N10" s="18" t="n">
        <f aca="false">IF(L10,M10,0)</f>
        <v>15905.4242304701</v>
      </c>
      <c r="O10" s="31" t="n">
        <v>-0.960414004499606</v>
      </c>
      <c r="P10" s="32" t="n">
        <f aca="false">-(EXP(O10)-1)*D10</f>
        <v>15019.3277961722</v>
      </c>
      <c r="Q10" s="32" t="n">
        <f aca="false">ABS(F10-P10)</f>
        <v>422.418814355346</v>
      </c>
      <c r="R10" s="30" t="b">
        <f aca="false">FALSE()</f>
        <v>0</v>
      </c>
    </row>
    <row r="11" customFormat="false" ht="15" hidden="false" customHeight="false" outlineLevel="0" collapsed="false">
      <c r="A11" s="33" t="str">
        <f aca="false">'03 Optimization Events'!A11</f>
        <v>i-049</v>
      </c>
      <c r="B11" s="33" t="str">
        <f aca="false">'03 Optimization Events'!C11</f>
        <v>bu-checkout</v>
      </c>
      <c r="C11" s="33" t="str">
        <f aca="false">'03 Optimization Events'!D11</f>
        <v>cache_inference_results</v>
      </c>
      <c r="D11" s="34" t="n">
        <f aca="false">'03 Optimization Events'!I11</f>
        <v>66691.6417236318</v>
      </c>
      <c r="E11" s="27" t="n">
        <v>-0.834278426516545</v>
      </c>
      <c r="F11" s="22" t="n">
        <f aca="false">-(EXP(E11)-1)*D11</f>
        <v>37734.9534130245</v>
      </c>
      <c r="G11" s="27" t="n">
        <v>-0.885095154217603</v>
      </c>
      <c r="H11" s="35" t="n">
        <f aca="false">EXP(-1.08292600132974)-1</f>
        <v>-0.661396679010704</v>
      </c>
      <c r="I11" s="35" t="n">
        <f aca="false">EXP(-0.687264307105471)-1</f>
        <v>-0.497049894231456</v>
      </c>
      <c r="J11" s="27" t="n">
        <v>0.024390243902439</v>
      </c>
      <c r="K11" s="36" t="b">
        <f aca="false">TRUE()</f>
        <v>1</v>
      </c>
      <c r="L11" s="36" t="b">
        <f aca="false">IF('10 Assumptions'!$B$24="Yes",TRUE(),K11)</f>
        <v>1</v>
      </c>
      <c r="M11" s="22" t="n">
        <f aca="false">-(EXP(G11)-1)*D11</f>
        <v>39169.6749008608</v>
      </c>
      <c r="N11" s="22" t="n">
        <f aca="false">IF(L11,M11,0)</f>
        <v>39169.6749008608</v>
      </c>
      <c r="O11" s="31" t="n">
        <v>-0.902102418016923</v>
      </c>
      <c r="P11" s="32" t="n">
        <f aca="false">-(EXP(O11)-1)*D11</f>
        <v>39633.7903966089</v>
      </c>
      <c r="Q11" s="32" t="n">
        <f aca="false">ABS(F11-P11)</f>
        <v>1898.83698358437</v>
      </c>
      <c r="R11" s="36" t="b">
        <f aca="false">FALSE()</f>
        <v>0</v>
      </c>
    </row>
    <row r="12" customFormat="false" ht="15" hidden="false" customHeight="false" outlineLevel="0" collapsed="false">
      <c r="A12" s="15" t="str">
        <f aca="false">'03 Optimization Events'!A12</f>
        <v>i-029</v>
      </c>
      <c r="B12" s="15" t="str">
        <f aca="false">'03 Optimization Events'!C12</f>
        <v>bu-platform</v>
      </c>
      <c r="C12" s="15" t="str">
        <f aca="false">'03 Optimization Events'!D12</f>
        <v>tune_batch_size</v>
      </c>
      <c r="D12" s="8" t="n">
        <f aca="false">'03 Optimization Events'!I12</f>
        <v>9034.13560906895</v>
      </c>
      <c r="E12" s="25" t="n">
        <v>-0.708133815578276</v>
      </c>
      <c r="F12" s="18" t="n">
        <f aca="false">-(EXP(E12)-1)*D12</f>
        <v>4584.25871069969</v>
      </c>
      <c r="G12" s="25" t="n">
        <v>-0.659365615957081</v>
      </c>
      <c r="H12" s="29" t="n">
        <f aca="false">EXP(-0.981535275628546)-1</f>
        <v>-0.625264665040561</v>
      </c>
      <c r="I12" s="29" t="n">
        <f aca="false">EXP(-0.337195956285617)-1</f>
        <v>-0.286231041316067</v>
      </c>
      <c r="J12" s="25" t="n">
        <v>0.024390243902439</v>
      </c>
      <c r="K12" s="30" t="b">
        <f aca="false">TRUE()</f>
        <v>1</v>
      </c>
      <c r="L12" s="30" t="b">
        <f aca="false">IF('10 Assumptions'!$B$24="Yes",TRUE(),K12)</f>
        <v>1</v>
      </c>
      <c r="M12" s="18" t="n">
        <f aca="false">-(EXP(G12)-1)*D12</f>
        <v>4361.86749116674</v>
      </c>
      <c r="N12" s="18" t="n">
        <f aca="false">IF(L12,M12,0)</f>
        <v>4361.86749116674</v>
      </c>
      <c r="O12" s="31" t="n">
        <v>-0.781010587549653</v>
      </c>
      <c r="P12" s="32" t="n">
        <f aca="false">-(EXP(O12)-1)*D12</f>
        <v>4897.01657321941</v>
      </c>
      <c r="Q12" s="32" t="n">
        <f aca="false">ABS(F12-P12)</f>
        <v>312.757862519717</v>
      </c>
      <c r="R12" s="30" t="b">
        <f aca="false">FALSE()</f>
        <v>0</v>
      </c>
    </row>
    <row r="13" customFormat="false" ht="15" hidden="false" customHeight="false" outlineLevel="0" collapsed="false">
      <c r="A13" s="33" t="str">
        <f aca="false">'03 Optimization Events'!A13</f>
        <v>i-011</v>
      </c>
      <c r="B13" s="33" t="str">
        <f aca="false">'03 Optimization Events'!C13</f>
        <v>bu-datalake</v>
      </c>
      <c r="C13" s="33" t="str">
        <f aca="false">'03 Optimization Events'!D13</f>
        <v>consolidate_cluster</v>
      </c>
      <c r="D13" s="34" t="n">
        <f aca="false">'03 Optimization Events'!I13</f>
        <v>23461.8848202583</v>
      </c>
      <c r="E13" s="27" t="n">
        <v>-1.29332330159625</v>
      </c>
      <c r="F13" s="22" t="n">
        <f aca="false">-(EXP(E13)-1)*D13</f>
        <v>17024.9409043021</v>
      </c>
      <c r="G13" s="27" t="n">
        <v>-1.26864018367491</v>
      </c>
      <c r="H13" s="35" t="n">
        <f aca="false">EXP(-1.65030056852937)-1</f>
        <v>-0.808007806863682</v>
      </c>
      <c r="I13" s="35" t="n">
        <f aca="false">EXP(-0.886979798820441)-1</f>
        <v>-0.58810210944997</v>
      </c>
      <c r="J13" s="27" t="n">
        <v>0.024390243902439</v>
      </c>
      <c r="K13" s="36" t="b">
        <f aca="false">TRUE()</f>
        <v>1</v>
      </c>
      <c r="L13" s="36" t="b">
        <f aca="false">IF('10 Assumptions'!$B$24="Yes",TRUE(),K13)</f>
        <v>1</v>
      </c>
      <c r="M13" s="22" t="n">
        <f aca="false">-(EXP(G13)-1)*D13</f>
        <v>16864.0799506741</v>
      </c>
      <c r="N13" s="22" t="n">
        <f aca="false">IF(L13,M13,0)</f>
        <v>16864.0799506741</v>
      </c>
      <c r="O13" s="31" t="n">
        <v>-1.23755934610845</v>
      </c>
      <c r="P13" s="32" t="n">
        <f aca="false">-(EXP(O13)-1)*D13</f>
        <v>16655.7945742751</v>
      </c>
      <c r="Q13" s="32" t="n">
        <f aca="false">ABS(F13-P13)</f>
        <v>369.14633002699</v>
      </c>
      <c r="R13" s="36" t="b">
        <f aca="false">FALSE()</f>
        <v>0</v>
      </c>
    </row>
    <row r="14" customFormat="false" ht="15" hidden="false" customHeight="false" outlineLevel="0" collapsed="false">
      <c r="A14" s="15" t="str">
        <f aca="false">'03 Optimization Events'!A14</f>
        <v>i-014</v>
      </c>
      <c r="B14" s="15" t="str">
        <f aca="false">'03 Optimization Events'!C14</f>
        <v>bu-assist</v>
      </c>
      <c r="C14" s="15" t="str">
        <f aca="false">'03 Optimization Events'!D14</f>
        <v>migrate_storage_class</v>
      </c>
      <c r="D14" s="8" t="n">
        <f aca="false">'03 Optimization Events'!I14</f>
        <v>162453.127304847</v>
      </c>
      <c r="E14" s="25" t="n">
        <v>-1.23010736026085</v>
      </c>
      <c r="F14" s="18" t="n">
        <f aca="false">-(EXP(E14)-1)*D14</f>
        <v>114974.381576758</v>
      </c>
      <c r="G14" s="25" t="n">
        <v>-1.17274740500235</v>
      </c>
      <c r="H14" s="29" t="n">
        <f aca="false">EXP(-1.59372946483018)-1</f>
        <v>-0.796833505232834</v>
      </c>
      <c r="I14" s="29" t="n">
        <f aca="false">EXP(-0.751765345174508)-1</f>
        <v>-0.528466601654547</v>
      </c>
      <c r="J14" s="25" t="n">
        <v>0.024390243902439</v>
      </c>
      <c r="K14" s="30" t="b">
        <f aca="false">TRUE()</f>
        <v>1</v>
      </c>
      <c r="L14" s="30" t="b">
        <f aca="false">IF('10 Assumptions'!$B$24="Yes",TRUE(),K14)</f>
        <v>1</v>
      </c>
      <c r="M14" s="18" t="n">
        <f aca="false">-(EXP(G14)-1)*D14</f>
        <v>112171.381347707</v>
      </c>
      <c r="N14" s="18" t="n">
        <f aca="false">IF(L14,M14,0)</f>
        <v>112171.381347707</v>
      </c>
      <c r="O14" s="31" t="n">
        <v>-1.00588327800711</v>
      </c>
      <c r="P14" s="32" t="n">
        <f aca="false">-(EXP(O14)-1)*D14</f>
        <v>103040.532669047</v>
      </c>
      <c r="Q14" s="32" t="n">
        <f aca="false">ABS(F14-P14)</f>
        <v>11933.8489077114</v>
      </c>
      <c r="R14" s="30" t="b">
        <f aca="false">FALSE()</f>
        <v>0</v>
      </c>
    </row>
    <row r="15" customFormat="false" ht="15" hidden="false" customHeight="false" outlineLevel="0" collapsed="false">
      <c r="A15" s="33" t="str">
        <f aca="false">'03 Optimization Events'!A15</f>
        <v>i-042</v>
      </c>
      <c r="B15" s="33" t="str">
        <f aca="false">'03 Optimization Events'!C15</f>
        <v>bu-search</v>
      </c>
      <c r="C15" s="33" t="str">
        <f aca="false">'03 Optimization Events'!D15</f>
        <v>enable_autoscaling</v>
      </c>
      <c r="D15" s="34" t="n">
        <f aca="false">'03 Optimization Events'!I15</f>
        <v>17475.4414638133</v>
      </c>
      <c r="E15" s="27" t="n">
        <v>-0.442753224133662</v>
      </c>
      <c r="F15" s="22" t="n">
        <f aca="false">-(EXP(E15)-1)*D15</f>
        <v>6251.56511277724</v>
      </c>
      <c r="G15" s="27" t="n">
        <v>-0.413177915791055</v>
      </c>
      <c r="H15" s="35" t="n">
        <f aca="false">EXP(-0.842249150766249)-1</f>
        <v>-0.56925936750116</v>
      </c>
      <c r="I15" s="35" t="n">
        <f aca="false">EXP(0.0158933191841399)-1</f>
        <v>0.0160202897508881</v>
      </c>
      <c r="J15" s="27" t="n">
        <v>0.121951219512195</v>
      </c>
      <c r="K15" s="36" t="b">
        <f aca="false">FALSE()</f>
        <v>0</v>
      </c>
      <c r="L15" s="36" t="b">
        <f aca="false">IF('10 Assumptions'!$B$24="Yes",TRUE(),K15)</f>
        <v>0</v>
      </c>
      <c r="M15" s="22" t="n">
        <f aca="false">-(EXP(G15)-1)*D15</f>
        <v>5914.65800036081</v>
      </c>
      <c r="N15" s="22" t="n">
        <f aca="false">IF(L15,M15,0)</f>
        <v>0</v>
      </c>
      <c r="O15" s="31" t="n">
        <v>-0.725879627181297</v>
      </c>
      <c r="P15" s="32" t="n">
        <f aca="false">-(EXP(O15)-1)*D15</f>
        <v>9019.09751202371</v>
      </c>
      <c r="Q15" s="32" t="n">
        <f aca="false">ABS(F15-P15)</f>
        <v>2767.53239924647</v>
      </c>
      <c r="R15" s="36" t="b">
        <f aca="false">FALSE()</f>
        <v>0</v>
      </c>
    </row>
    <row r="16" customFormat="false" ht="15" hidden="false" customHeight="false" outlineLevel="0" collapsed="false">
      <c r="A16" s="15" t="str">
        <f aca="false">'03 Optimization Events'!A16</f>
        <v>i-067</v>
      </c>
      <c r="B16" s="15" t="str">
        <f aca="false">'03 Optimization Events'!C16</f>
        <v>bu-assist</v>
      </c>
      <c r="C16" s="15" t="str">
        <f aca="false">'03 Optimization Events'!D16</f>
        <v>consolidate_cluster</v>
      </c>
      <c r="D16" s="8" t="n">
        <f aca="false">'03 Optimization Events'!I16</f>
        <v>8508.95759653821</v>
      </c>
      <c r="E16" s="25" t="n">
        <v>-0.627667387408161</v>
      </c>
      <c r="F16" s="18" t="n">
        <f aca="false">-(EXP(E16)-1)*D16</f>
        <v>3966.57327077001</v>
      </c>
      <c r="G16" s="25" t="n">
        <v>-0.573254528524309</v>
      </c>
      <c r="H16" s="29" t="n">
        <f aca="false">EXP(-0.993374541074759)-1</f>
        <v>-0.629675096492143</v>
      </c>
      <c r="I16" s="29" t="n">
        <f aca="false">EXP(-0.153134515973858)-1</f>
        <v>-0.141985702580446</v>
      </c>
      <c r="J16" s="25" t="n">
        <v>0.024390243902439</v>
      </c>
      <c r="K16" s="30" t="b">
        <f aca="false">TRUE()</f>
        <v>1</v>
      </c>
      <c r="L16" s="30" t="b">
        <f aca="false">IF('10 Assumptions'!$B$24="Yes",TRUE(),K16)</f>
        <v>1</v>
      </c>
      <c r="M16" s="18" t="n">
        <f aca="false">-(EXP(G16)-1)*D16</f>
        <v>3712.56105742017</v>
      </c>
      <c r="N16" s="18" t="n">
        <f aca="false">IF(L16,M16,0)</f>
        <v>3712.56105742017</v>
      </c>
      <c r="O16" s="31" t="n">
        <v>-0.830575368405272</v>
      </c>
      <c r="P16" s="32" t="n">
        <f aca="false">-(EXP(O16)-1)*D16</f>
        <v>4800.76689890943</v>
      </c>
      <c r="Q16" s="32" t="n">
        <f aca="false">ABS(F16-P16)</f>
        <v>834.193628139427</v>
      </c>
      <c r="R16" s="30" t="b">
        <f aca="false">FALSE()</f>
        <v>0</v>
      </c>
    </row>
    <row r="17" customFormat="false" ht="15" hidden="false" customHeight="false" outlineLevel="0" collapsed="false">
      <c r="A17" s="33" t="str">
        <f aca="false">'03 Optimization Events'!A17</f>
        <v>i-093</v>
      </c>
      <c r="B17" s="33" t="str">
        <f aca="false">'03 Optimization Events'!C17</f>
        <v>bu-assist</v>
      </c>
      <c r="C17" s="33" t="str">
        <f aca="false">'03 Optimization Events'!D17</f>
        <v>schedule_shutdown</v>
      </c>
      <c r="D17" s="34" t="n">
        <f aca="false">'03 Optimization Events'!I17</f>
        <v>769.574773057772</v>
      </c>
      <c r="E17" s="27" t="n">
        <v>0.672541972155061</v>
      </c>
      <c r="F17" s="22" t="n">
        <f aca="false">-(EXP(E17)-1)*D17</f>
        <v>-738.184785123524</v>
      </c>
      <c r="G17" s="27" t="n">
        <v>0.695026510359582</v>
      </c>
      <c r="H17" s="35" t="n">
        <f aca="false">EXP(0.267326956452451)-1</f>
        <v>0.306467534497556</v>
      </c>
      <c r="I17" s="35" t="n">
        <f aca="false">EXP(1.12272606426671)-1</f>
        <v>2.07322059129379</v>
      </c>
      <c r="J17" s="27" t="n">
        <v>0.024390243902439</v>
      </c>
      <c r="K17" s="36" t="b">
        <f aca="false">FALSE()</f>
        <v>0</v>
      </c>
      <c r="L17" s="36" t="b">
        <f aca="false">IF('10 Assumptions'!$B$24="Yes",TRUE(),K17)</f>
        <v>0</v>
      </c>
      <c r="M17" s="22" t="n">
        <f aca="false">-(EXP(G17)-1)*D17</f>
        <v>-772.470062415518</v>
      </c>
      <c r="N17" s="22" t="n">
        <f aca="false">IF(L17,M17,0)</f>
        <v>0</v>
      </c>
      <c r="O17" s="31" t="n">
        <v>0</v>
      </c>
      <c r="P17" s="32" t="n">
        <f aca="false">-(EXP(O17)-1)*D17</f>
        <v>-0</v>
      </c>
      <c r="Q17" s="32" t="n">
        <f aca="false">ABS(F17-P17)</f>
        <v>738.184785123524</v>
      </c>
      <c r="R17" s="36" t="b">
        <f aca="false">TRUE()</f>
        <v>1</v>
      </c>
    </row>
    <row r="18" customFormat="false" ht="15" hidden="false" customHeight="false" outlineLevel="0" collapsed="false">
      <c r="A18" s="15" t="str">
        <f aca="false">'03 Optimization Events'!A18</f>
        <v>i-019</v>
      </c>
      <c r="B18" s="15" t="str">
        <f aca="false">'03 Optimization Events'!C18</f>
        <v>bu-search</v>
      </c>
      <c r="C18" s="15" t="str">
        <f aca="false">'03 Optimization Events'!D18</f>
        <v>schedule_shutdown</v>
      </c>
      <c r="D18" s="8" t="n">
        <f aca="false">'03 Optimization Events'!I18</f>
        <v>36036.282637821</v>
      </c>
      <c r="E18" s="25" t="n">
        <v>-0.805339333456374</v>
      </c>
      <c r="F18" s="18" t="n">
        <f aca="false">-(EXP(E18)-1)*D18</f>
        <v>19930.3619574839</v>
      </c>
      <c r="G18" s="25" t="n">
        <v>-0.89976002684465</v>
      </c>
      <c r="H18" s="29" t="n">
        <f aca="false">EXP(-1.08969635379483)-1</f>
        <v>-0.663681399929518</v>
      </c>
      <c r="I18" s="29" t="n">
        <f aca="false">EXP(-0.709823699894466)-1</f>
        <v>-0.508269117974113</v>
      </c>
      <c r="J18" s="25" t="n">
        <v>0.024390243902439</v>
      </c>
      <c r="K18" s="30" t="b">
        <f aca="false">TRUE()</f>
        <v>1</v>
      </c>
      <c r="L18" s="30" t="b">
        <f aca="false">IF('10 Assumptions'!$B$24="Yes",TRUE(),K18)</f>
        <v>1</v>
      </c>
      <c r="M18" s="18" t="n">
        <f aca="false">-(EXP(G18)-1)*D18</f>
        <v>21381.5071366575</v>
      </c>
      <c r="N18" s="18" t="n">
        <f aca="false">IF(L18,M18,0)</f>
        <v>21381.5071366575</v>
      </c>
      <c r="O18" s="31" t="n">
        <v>-0.869202337661376</v>
      </c>
      <c r="P18" s="32" t="n">
        <f aca="false">-(EXP(O18)-1)*D18</f>
        <v>20926.7787208982</v>
      </c>
      <c r="Q18" s="32" t="n">
        <f aca="false">ABS(F18-P18)</f>
        <v>996.416763414367</v>
      </c>
      <c r="R18" s="30" t="b">
        <f aca="false">FALSE()</f>
        <v>0</v>
      </c>
    </row>
    <row r="19" customFormat="false" ht="15" hidden="false" customHeight="false" outlineLevel="0" collapsed="false">
      <c r="A19" s="33" t="str">
        <f aca="false">'03 Optimization Events'!A19</f>
        <v>i-043</v>
      </c>
      <c r="B19" s="33" t="str">
        <f aca="false">'03 Optimization Events'!C19</f>
        <v>bu-platform</v>
      </c>
      <c r="C19" s="33" t="str">
        <f aca="false">'03 Optimization Events'!D19</f>
        <v>enable_autoscaling</v>
      </c>
      <c r="D19" s="34" t="n">
        <f aca="false">'03 Optimization Events'!I19</f>
        <v>21374.9755787107</v>
      </c>
      <c r="E19" s="27" t="n">
        <v>-0.601707065946522</v>
      </c>
      <c r="F19" s="22" t="n">
        <f aca="false">-(EXP(E19)-1)*D19</f>
        <v>9664.1484868454</v>
      </c>
      <c r="G19" s="27" t="n">
        <v>-0.645408522394877</v>
      </c>
      <c r="H19" s="35" t="n">
        <f aca="false">EXP(-0.894314900052785)-1</f>
        <v>-0.591112368400562</v>
      </c>
      <c r="I19" s="35" t="n">
        <f aca="false">EXP(-0.39650214473697)-1</f>
        <v>-0.327331165998029</v>
      </c>
      <c r="J19" s="27" t="n">
        <v>0.024390243902439</v>
      </c>
      <c r="K19" s="36" t="b">
        <f aca="false">TRUE()</f>
        <v>1</v>
      </c>
      <c r="L19" s="36" t="b">
        <f aca="false">IF('10 Assumptions'!$B$24="Yes",TRUE(),K19)</f>
        <v>1</v>
      </c>
      <c r="M19" s="22" t="n">
        <f aca="false">-(EXP(G19)-1)*D19</f>
        <v>10164.9070537132</v>
      </c>
      <c r="N19" s="22" t="n">
        <f aca="false">IF(L19,M19,0)</f>
        <v>10164.9070537132</v>
      </c>
      <c r="O19" s="31" t="n">
        <v>-0.856096977688542</v>
      </c>
      <c r="P19" s="32" t="n">
        <f aca="false">-(EXP(O19)-1)*D19</f>
        <v>12294.5242732994</v>
      </c>
      <c r="Q19" s="32" t="n">
        <f aca="false">ABS(F19-P19)</f>
        <v>2630.37578645396</v>
      </c>
      <c r="R19" s="36" t="b">
        <f aca="false">FALSE()</f>
        <v>0</v>
      </c>
    </row>
    <row r="20" customFormat="false" ht="15" hidden="false" customHeight="false" outlineLevel="0" collapsed="false">
      <c r="A20" s="15" t="str">
        <f aca="false">'03 Optimization Events'!A20</f>
        <v>i-034</v>
      </c>
      <c r="B20" s="15" t="str">
        <f aca="false">'03 Optimization Events'!C20</f>
        <v>bu-assist</v>
      </c>
      <c r="C20" s="15" t="str">
        <f aca="false">'03 Optimization Events'!D20</f>
        <v>enable_autoscaling</v>
      </c>
      <c r="D20" s="8" t="n">
        <f aca="false">'03 Optimization Events'!I20</f>
        <v>163805.948942363</v>
      </c>
      <c r="E20" s="25" t="n">
        <v>-0.384269362946269</v>
      </c>
      <c r="F20" s="18" t="n">
        <f aca="false">-(EXP(E20)-1)*D20</f>
        <v>52262.6188457371</v>
      </c>
      <c r="G20" s="25" t="n">
        <v>-0.364866122344995</v>
      </c>
      <c r="H20" s="29" t="n">
        <f aca="false">EXP(-0.807185402010445)-1</f>
        <v>-0.553888073429577</v>
      </c>
      <c r="I20" s="29" t="n">
        <f aca="false">EXP(0.0774531573204561)-1</f>
        <v>0.0805316162768319</v>
      </c>
      <c r="J20" s="25" t="n">
        <v>0.195121951219512</v>
      </c>
      <c r="K20" s="30" t="b">
        <f aca="false">FALSE()</f>
        <v>0</v>
      </c>
      <c r="L20" s="30" t="b">
        <f aca="false">IF('10 Assumptions'!$B$24="Yes",TRUE(),K20)</f>
        <v>0</v>
      </c>
      <c r="M20" s="18" t="n">
        <f aca="false">-(EXP(G20)-1)*D20</f>
        <v>50077.1830713516</v>
      </c>
      <c r="N20" s="18" t="n">
        <f aca="false">IF(L20,M20,0)</f>
        <v>0</v>
      </c>
      <c r="O20" s="31" t="n">
        <v>-0.775973517259065</v>
      </c>
      <c r="P20" s="32" t="n">
        <f aca="false">-(EXP(O20)-1)*D20</f>
        <v>88413.360638138</v>
      </c>
      <c r="Q20" s="32" t="n">
        <f aca="false">ABS(F20-P20)</f>
        <v>36150.7417924009</v>
      </c>
      <c r="R20" s="30" t="b">
        <f aca="false">FALSE()</f>
        <v>0</v>
      </c>
    </row>
    <row r="21" customFormat="false" ht="15" hidden="false" customHeight="false" outlineLevel="0" collapsed="false">
      <c r="A21" s="33" t="str">
        <f aca="false">'03 Optimization Events'!A21</f>
        <v>i-055</v>
      </c>
      <c r="B21" s="33" t="str">
        <f aca="false">'03 Optimization Events'!C21</f>
        <v>bu-datalake</v>
      </c>
      <c r="C21" s="33" t="str">
        <f aca="false">'03 Optimization Events'!D21</f>
        <v>cache_inference_results</v>
      </c>
      <c r="D21" s="34" t="n">
        <f aca="false">'03 Optimization Events'!I21</f>
        <v>70683.0926619585</v>
      </c>
      <c r="E21" s="27" t="n">
        <v>-0.783314625632813</v>
      </c>
      <c r="F21" s="22" t="n">
        <f aca="false">-(EXP(E21)-1)*D21</f>
        <v>38388.7593141264</v>
      </c>
      <c r="G21" s="27" t="n">
        <v>-0.789989528423169</v>
      </c>
      <c r="H21" s="35" t="n">
        <f aca="false">EXP(-1.10274952830287)-1</f>
        <v>-0.668042897683115</v>
      </c>
      <c r="I21" s="35" t="n">
        <f aca="false">EXP(-0.47722952854347)-1</f>
        <v>-0.379499909534813</v>
      </c>
      <c r="J21" s="27" t="n">
        <v>0.024390243902439</v>
      </c>
      <c r="K21" s="36" t="b">
        <f aca="false">TRUE()</f>
        <v>1</v>
      </c>
      <c r="L21" s="36" t="b">
        <f aca="false">IF('10 Assumptions'!$B$24="Yes",TRUE(),K21)</f>
        <v>1</v>
      </c>
      <c r="M21" s="22" t="n">
        <f aca="false">-(EXP(G21)-1)*D21</f>
        <v>38603.6030217865</v>
      </c>
      <c r="N21" s="22" t="n">
        <f aca="false">IF(L21,M21,0)</f>
        <v>38603.6030217865</v>
      </c>
      <c r="O21" s="31" t="n">
        <v>-0.823585333351546</v>
      </c>
      <c r="P21" s="32" t="n">
        <f aca="false">-(EXP(O21)-1)*D21</f>
        <v>39663.4366339201</v>
      </c>
      <c r="Q21" s="32" t="n">
        <f aca="false">ABS(F21-P21)</f>
        <v>1274.67731979371</v>
      </c>
      <c r="R21" s="36" t="b">
        <f aca="false">FALSE()</f>
        <v>0</v>
      </c>
    </row>
    <row r="22" customFormat="false" ht="15" hidden="false" customHeight="false" outlineLevel="0" collapsed="false">
      <c r="A22" s="15" t="str">
        <f aca="false">'03 Optimization Events'!A22</f>
        <v>i-036</v>
      </c>
      <c r="B22" s="15" t="str">
        <f aca="false">'03 Optimization Events'!C22</f>
        <v>bu-assist</v>
      </c>
      <c r="C22" s="15" t="str">
        <f aca="false">'03 Optimization Events'!D22</f>
        <v>rightsize_instance</v>
      </c>
      <c r="D22" s="8" t="n">
        <f aca="false">'03 Optimization Events'!I22</f>
        <v>3249.13857603055</v>
      </c>
      <c r="E22" s="25" t="n">
        <v>-1.22559381061624</v>
      </c>
      <c r="F22" s="18" t="n">
        <f aca="false">-(EXP(E22)-1)*D22</f>
        <v>2295.24569982986</v>
      </c>
      <c r="G22" s="25" t="n">
        <v>-1.20884993662782</v>
      </c>
      <c r="H22" s="29" t="n">
        <f aca="false">EXP(-1.43907270289978)-1</f>
        <v>-0.762852436998086</v>
      </c>
      <c r="I22" s="29" t="n">
        <f aca="false">EXP(-0.978627170355868)-1</f>
        <v>-0.624173309117289</v>
      </c>
      <c r="J22" s="25" t="n">
        <v>0.024390243902439</v>
      </c>
      <c r="K22" s="30" t="b">
        <f aca="false">TRUE()</f>
        <v>1</v>
      </c>
      <c r="L22" s="30" t="b">
        <f aca="false">IF('10 Assumptions'!$B$24="Yes",TRUE(),K22)</f>
        <v>1</v>
      </c>
      <c r="M22" s="18" t="n">
        <f aca="false">-(EXP(G22)-1)*D22</f>
        <v>2279.13937284975</v>
      </c>
      <c r="N22" s="18" t="n">
        <f aca="false">IF(L22,M22,0)</f>
        <v>2279.13937284975</v>
      </c>
      <c r="O22" s="31" t="n">
        <v>-1.09370739597568</v>
      </c>
      <c r="P22" s="32" t="n">
        <f aca="false">-(EXP(O22)-1)*D22</f>
        <v>2160.76710939359</v>
      </c>
      <c r="Q22" s="32" t="n">
        <f aca="false">ABS(F22-P22)</f>
        <v>134.47859043627</v>
      </c>
      <c r="R22" s="30" t="b">
        <f aca="false">FALSE()</f>
        <v>0</v>
      </c>
    </row>
    <row r="23" customFormat="false" ht="15" hidden="false" customHeight="false" outlineLevel="0" collapsed="false">
      <c r="A23" s="33" t="str">
        <f aca="false">'03 Optimization Events'!A23</f>
        <v>i-003</v>
      </c>
      <c r="B23" s="33" t="str">
        <f aca="false">'03 Optimization Events'!C23</f>
        <v>bu-checkout</v>
      </c>
      <c r="C23" s="33" t="str">
        <f aca="false">'03 Optimization Events'!D23</f>
        <v>delete_orphaned_volume</v>
      </c>
      <c r="D23" s="34" t="n">
        <f aca="false">'03 Optimization Events'!I23</f>
        <v>92502.0889414474</v>
      </c>
      <c r="E23" s="27" t="n">
        <v>-1.19789917843362</v>
      </c>
      <c r="F23" s="22" t="n">
        <f aca="false">-(EXP(E23)-1)*D23</f>
        <v>64582.4024509556</v>
      </c>
      <c r="G23" s="27" t="n">
        <v>-1.24534267979943</v>
      </c>
      <c r="H23" s="35" t="n">
        <f aca="false">EXP(-1.49428739641576)-1</f>
        <v>-0.775591537959292</v>
      </c>
      <c r="I23" s="35" t="n">
        <f aca="false">EXP(-0.996397963183087)-1</f>
        <v>-0.630793054112169</v>
      </c>
      <c r="J23" s="27" t="n">
        <v>0.024390243902439</v>
      </c>
      <c r="K23" s="36" t="b">
        <f aca="false">TRUE()</f>
        <v>1</v>
      </c>
      <c r="L23" s="36" t="b">
        <f aca="false">IF('10 Assumptions'!$B$24="Yes",TRUE(),K23)</f>
        <v>1</v>
      </c>
      <c r="M23" s="22" t="n">
        <f aca="false">-(EXP(G23)-1)*D23</f>
        <v>65876.0792068465</v>
      </c>
      <c r="N23" s="22" t="n">
        <f aca="false">IF(L23,M23,0)</f>
        <v>65876.0792068465</v>
      </c>
      <c r="O23" s="31" t="n">
        <v>-1.24835247021792</v>
      </c>
      <c r="P23" s="32" t="n">
        <f aca="false">-(EXP(O23)-1)*D23</f>
        <v>65956.0974363721</v>
      </c>
      <c r="Q23" s="32" t="n">
        <f aca="false">ABS(F23-P23)</f>
        <v>1373.69498541654</v>
      </c>
      <c r="R23" s="36" t="b">
        <f aca="false">FALSE()</f>
        <v>0</v>
      </c>
    </row>
    <row r="24" customFormat="false" ht="15" hidden="false" customHeight="false" outlineLevel="0" collapsed="false">
      <c r="A24" s="15" t="str">
        <f aca="false">'03 Optimization Events'!A24</f>
        <v>i-111</v>
      </c>
      <c r="B24" s="15" t="str">
        <f aca="false">'03 Optimization Events'!C24</f>
        <v>bu-checkout</v>
      </c>
      <c r="C24" s="15" t="str">
        <f aca="false">'03 Optimization Events'!D24</f>
        <v>rightsize_instance</v>
      </c>
      <c r="D24" s="8" t="n">
        <f aca="false">'03 Optimization Events'!I24</f>
        <v>5432.74770778336</v>
      </c>
      <c r="E24" s="25" t="n">
        <v>-0.0287251500221526</v>
      </c>
      <c r="F24" s="18" t="n">
        <f aca="false">-(EXP(E24)-1)*D24</f>
        <v>153.836427873894</v>
      </c>
      <c r="G24" s="25" t="n">
        <v>-0.106814377095278</v>
      </c>
      <c r="H24" s="29" t="n">
        <f aca="false">EXP(-0.272007869891729)-1</f>
        <v>-0.238151734597118</v>
      </c>
      <c r="I24" s="29" t="n">
        <f aca="false">EXP(0.0583791157011727)-1</f>
        <v>0.0601168264692915</v>
      </c>
      <c r="J24" s="25" t="n">
        <v>0.24390243902439</v>
      </c>
      <c r="K24" s="30" t="b">
        <f aca="false">FALSE()</f>
        <v>0</v>
      </c>
      <c r="L24" s="30" t="b">
        <f aca="false">IF('10 Assumptions'!$B$24="Yes",TRUE(),K24)</f>
        <v>0</v>
      </c>
      <c r="M24" s="18" t="n">
        <f aca="false">-(EXP(G24)-1)*D24</f>
        <v>550.378221962816</v>
      </c>
      <c r="N24" s="18" t="n">
        <f aca="false">IF(L24,M24,0)</f>
        <v>0</v>
      </c>
      <c r="O24" s="31" t="n">
        <v>0</v>
      </c>
      <c r="P24" s="32" t="n">
        <f aca="false">-(EXP(O24)-1)*D24</f>
        <v>-0</v>
      </c>
      <c r="Q24" s="32" t="n">
        <f aca="false">ABS(F24-P24)</f>
        <v>153.836427873894</v>
      </c>
      <c r="R24" s="30" t="b">
        <f aca="false">TRUE()</f>
        <v>1</v>
      </c>
    </row>
    <row r="25" customFormat="false" ht="15" hidden="false" customHeight="false" outlineLevel="0" collapsed="false">
      <c r="A25" s="33" t="str">
        <f aca="false">'03 Optimization Events'!A25</f>
        <v>i-015</v>
      </c>
      <c r="B25" s="33" t="str">
        <f aca="false">'03 Optimization Events'!C25</f>
        <v>bu-platform</v>
      </c>
      <c r="C25" s="33" t="str">
        <f aca="false">'03 Optimization Events'!D25</f>
        <v>enable_autoscaling</v>
      </c>
      <c r="D25" s="34" t="n">
        <f aca="false">'03 Optimization Events'!I25</f>
        <v>2967.29941432879</v>
      </c>
      <c r="E25" s="27" t="n">
        <v>-1.04037253291697</v>
      </c>
      <c r="F25" s="22" t="n">
        <f aca="false">-(EXP(E25)-1)*D25</f>
        <v>1918.8841855031</v>
      </c>
      <c r="G25" s="27" t="n">
        <v>-1.02267874390874</v>
      </c>
      <c r="H25" s="35" t="n">
        <f aca="false">EXP(-1.27906004265867)-1</f>
        <v>-0.721701233480857</v>
      </c>
      <c r="I25" s="35" t="n">
        <f aca="false">EXP(-0.766297445158814)-1</f>
        <v>-0.535269422787813</v>
      </c>
      <c r="J25" s="27" t="n">
        <v>0.024390243902439</v>
      </c>
      <c r="K25" s="36" t="b">
        <f aca="false">TRUE()</f>
        <v>1</v>
      </c>
      <c r="L25" s="36" t="b">
        <f aca="false">IF('10 Assumptions'!$B$24="Yes",TRUE(),K25)</f>
        <v>1</v>
      </c>
      <c r="M25" s="22" t="n">
        <f aca="false">-(EXP(G25)-1)*D25</f>
        <v>1900.16866165632</v>
      </c>
      <c r="N25" s="22" t="n">
        <f aca="false">IF(L25,M25,0)</f>
        <v>1900.16866165632</v>
      </c>
      <c r="O25" s="31" t="n">
        <v>-1.13582837790277</v>
      </c>
      <c r="P25" s="32" t="n">
        <f aca="false">-(EXP(O25)-1)*D25</f>
        <v>2014.33348491661</v>
      </c>
      <c r="Q25" s="32" t="n">
        <f aca="false">ABS(F25-P25)</f>
        <v>95.4492994135137</v>
      </c>
      <c r="R25" s="36" t="b">
        <f aca="false">FALSE()</f>
        <v>0</v>
      </c>
    </row>
    <row r="26" customFormat="false" ht="15" hidden="false" customHeight="false" outlineLevel="0" collapsed="false">
      <c r="A26" s="15" t="str">
        <f aca="false">'03 Optimization Events'!A26</f>
        <v>i-054</v>
      </c>
      <c r="B26" s="15" t="str">
        <f aca="false">'03 Optimization Events'!C26</f>
        <v>bu-datalake</v>
      </c>
      <c r="C26" s="15" t="str">
        <f aca="false">'03 Optimization Events'!D26</f>
        <v>migrate_storage_class</v>
      </c>
      <c r="D26" s="8" t="n">
        <f aca="false">'03 Optimization Events'!I26</f>
        <v>42377.0795204005</v>
      </c>
      <c r="E26" s="25" t="n">
        <v>-1.0294727618155</v>
      </c>
      <c r="F26" s="18" t="n">
        <f aca="false">-(EXP(E26)-1)*D26</f>
        <v>27240.1885196026</v>
      </c>
      <c r="G26" s="25" t="n">
        <v>-1.06341889617184</v>
      </c>
      <c r="H26" s="29" t="n">
        <f aca="false">EXP(-1.39852654753326)-1</f>
        <v>-0.75303941933339</v>
      </c>
      <c r="I26" s="29" t="n">
        <f aca="false">EXP(-0.728311244810419)-1</f>
        <v>-0.517276496038189</v>
      </c>
      <c r="J26" s="25" t="n">
        <v>0.024390243902439</v>
      </c>
      <c r="K26" s="30" t="b">
        <f aca="false">TRUE()</f>
        <v>1</v>
      </c>
      <c r="L26" s="30" t="b">
        <f aca="false">IF('10 Assumptions'!$B$24="Yes",TRUE(),K26)</f>
        <v>1</v>
      </c>
      <c r="M26" s="18" t="n">
        <f aca="false">-(EXP(G26)-1)*D26</f>
        <v>27745.4038868261</v>
      </c>
      <c r="N26" s="18" t="n">
        <f aca="false">IF(L26,M26,0)</f>
        <v>27745.4038868261</v>
      </c>
      <c r="O26" s="31" t="n">
        <v>-0.907858509454166</v>
      </c>
      <c r="P26" s="32" t="n">
        <f aca="false">-(EXP(O26)-1)*D26</f>
        <v>25282.7102086392</v>
      </c>
      <c r="Q26" s="32" t="n">
        <f aca="false">ABS(F26-P26)</f>
        <v>1957.47831096338</v>
      </c>
      <c r="R26" s="30" t="b">
        <f aca="false">FALSE()</f>
        <v>0</v>
      </c>
    </row>
    <row r="27" customFormat="false" ht="15" hidden="false" customHeight="false" outlineLevel="0" collapsed="false">
      <c r="A27" s="33" t="str">
        <f aca="false">'03 Optimization Events'!A27</f>
        <v>i-090</v>
      </c>
      <c r="B27" s="33" t="str">
        <f aca="false">'03 Optimization Events'!C27</f>
        <v>bu-search</v>
      </c>
      <c r="C27" s="33" t="str">
        <f aca="false">'03 Optimization Events'!D27</f>
        <v>migrate_storage_class</v>
      </c>
      <c r="D27" s="34" t="n">
        <f aca="false">'03 Optimization Events'!I27</f>
        <v>25476.8589631927</v>
      </c>
      <c r="E27" s="27" t="n">
        <v>0.176524574232768</v>
      </c>
      <c r="F27" s="22" t="n">
        <f aca="false">-(EXP(E27)-1)*D27</f>
        <v>-4918.65780292138</v>
      </c>
      <c r="G27" s="27" t="n">
        <v>0.144634812067909</v>
      </c>
      <c r="H27" s="35" t="n">
        <f aca="false">EXP(-0.0914332288552578)-1</f>
        <v>-0.0873777490499414</v>
      </c>
      <c r="I27" s="35" t="n">
        <f aca="false">EXP(0.380702852991075)-1</f>
        <v>0.463312721802341</v>
      </c>
      <c r="J27" s="27" t="n">
        <v>0.146341463414634</v>
      </c>
      <c r="K27" s="36" t="b">
        <f aca="false">TRUE()</f>
        <v>1</v>
      </c>
      <c r="L27" s="36" t="b">
        <f aca="false">IF('10 Assumptions'!$B$24="Yes",TRUE(),K27)</f>
        <v>1</v>
      </c>
      <c r="M27" s="22" t="n">
        <f aca="false">-(EXP(G27)-1)*D27</f>
        <v>-3964.64447920457</v>
      </c>
      <c r="N27" s="22" t="n">
        <f aca="false">IF(L27,M27,0)</f>
        <v>-3964.64447920457</v>
      </c>
      <c r="O27" s="31" t="n">
        <v>0</v>
      </c>
      <c r="P27" s="32" t="n">
        <f aca="false">-(EXP(O27)-1)*D27</f>
        <v>-0</v>
      </c>
      <c r="Q27" s="32" t="n">
        <f aca="false">ABS(F27-P27)</f>
        <v>4918.65780292138</v>
      </c>
      <c r="R27" s="36" t="b">
        <f aca="false">TRUE()</f>
        <v>1</v>
      </c>
    </row>
    <row r="28" customFormat="false" ht="15" hidden="false" customHeight="false" outlineLevel="0" collapsed="false">
      <c r="A28" s="15" t="str">
        <f aca="false">'03 Optimization Events'!A28</f>
        <v>i-097</v>
      </c>
      <c r="B28" s="15" t="str">
        <f aca="false">'03 Optimization Events'!C28</f>
        <v>bu-platform</v>
      </c>
      <c r="C28" s="15" t="str">
        <f aca="false">'03 Optimization Events'!D28</f>
        <v>delete_orphaned_volume</v>
      </c>
      <c r="D28" s="8" t="n">
        <f aca="false">'03 Optimization Events'!I28</f>
        <v>7896.08181366811</v>
      </c>
      <c r="E28" s="25" t="n">
        <v>0.083566987058826</v>
      </c>
      <c r="F28" s="18" t="n">
        <f aca="false">-(EXP(E28)-1)*D28</f>
        <v>-688.207001713752</v>
      </c>
      <c r="G28" s="25" t="n">
        <v>0.0318861787098675</v>
      </c>
      <c r="H28" s="29" t="n">
        <f aca="false">EXP(-0.292498788829419)-1</f>
        <v>-0.253603850951608</v>
      </c>
      <c r="I28" s="29" t="n">
        <f aca="false">EXP(0.356271146249154)-1</f>
        <v>0.427994691179623</v>
      </c>
      <c r="J28" s="25" t="n">
        <v>0.951219512195122</v>
      </c>
      <c r="K28" s="30" t="b">
        <f aca="false">TRUE()</f>
        <v>1</v>
      </c>
      <c r="L28" s="30" t="b">
        <f aca="false">IF('10 Assumptions'!$B$24="Yes",TRUE(),K28)</f>
        <v>1</v>
      </c>
      <c r="M28" s="18" t="n">
        <f aca="false">-(EXP(G28)-1)*D28</f>
        <v>-255.832968000904</v>
      </c>
      <c r="N28" s="18" t="n">
        <f aca="false">IF(L28,M28,0)</f>
        <v>-255.832968000904</v>
      </c>
      <c r="O28" s="31" t="n">
        <v>0</v>
      </c>
      <c r="P28" s="32" t="n">
        <f aca="false">-(EXP(O28)-1)*D28</f>
        <v>-0</v>
      </c>
      <c r="Q28" s="32" t="n">
        <f aca="false">ABS(F28-P28)</f>
        <v>688.207001713752</v>
      </c>
      <c r="R28" s="30" t="b">
        <f aca="false">TRUE()</f>
        <v>1</v>
      </c>
    </row>
    <row r="29" customFormat="false" ht="15" hidden="false" customHeight="false" outlineLevel="0" collapsed="false">
      <c r="A29" s="33" t="str">
        <f aca="false">'03 Optimization Events'!A29</f>
        <v>i-075</v>
      </c>
      <c r="B29" s="33" t="str">
        <f aca="false">'03 Optimization Events'!C29</f>
        <v>bu-platform</v>
      </c>
      <c r="C29" s="33" t="str">
        <f aca="false">'03 Optimization Events'!D29</f>
        <v>tune_batch_size</v>
      </c>
      <c r="D29" s="34" t="n">
        <f aca="false">'03 Optimization Events'!I29</f>
        <v>7165.31891107613</v>
      </c>
      <c r="E29" s="27" t="n">
        <v>-0.563188773740107</v>
      </c>
      <c r="F29" s="22" t="n">
        <f aca="false">-(EXP(E29)-1)*D29</f>
        <v>3085.45433339457</v>
      </c>
      <c r="G29" s="27" t="n">
        <v>-0.597991033643173</v>
      </c>
      <c r="H29" s="35" t="n">
        <f aca="false">EXP(-0.82865767349973)-1</f>
        <v>-0.563365000144559</v>
      </c>
      <c r="I29" s="35" t="n">
        <f aca="false">EXP(-0.367324393786616)-1</f>
        <v>-0.30741506165107</v>
      </c>
      <c r="J29" s="27" t="n">
        <v>0.024390243902439</v>
      </c>
      <c r="K29" s="36" t="b">
        <f aca="false">TRUE()</f>
        <v>1</v>
      </c>
      <c r="L29" s="36" t="b">
        <f aca="false">IF('10 Assumptions'!$B$24="Yes",TRUE(),K29)</f>
        <v>1</v>
      </c>
      <c r="M29" s="22" t="n">
        <f aca="false">-(EXP(G29)-1)*D29</f>
        <v>3225.00049535436</v>
      </c>
      <c r="N29" s="22" t="n">
        <f aca="false">IF(L29,M29,0)</f>
        <v>3225.00049535436</v>
      </c>
      <c r="O29" s="31" t="n">
        <v>-0.586319190649919</v>
      </c>
      <c r="P29" s="32" t="n">
        <f aca="false">-(EXP(O29)-1)*D29</f>
        <v>3178.7402716038</v>
      </c>
      <c r="Q29" s="32" t="n">
        <f aca="false">ABS(F29-P29)</f>
        <v>93.2859382092274</v>
      </c>
      <c r="R29" s="36" t="b">
        <f aca="false">FALSE()</f>
        <v>0</v>
      </c>
    </row>
    <row r="30" customFormat="false" ht="15" hidden="false" customHeight="false" outlineLevel="0" collapsed="false">
      <c r="A30" s="15" t="str">
        <f aca="false">'03 Optimization Events'!A30</f>
        <v>i-070</v>
      </c>
      <c r="B30" s="15" t="str">
        <f aca="false">'03 Optimization Events'!C30</f>
        <v>bu-search</v>
      </c>
      <c r="C30" s="15" t="str">
        <f aca="false">'03 Optimization Events'!D30</f>
        <v>migrate_storage_class</v>
      </c>
      <c r="D30" s="8" t="n">
        <f aca="false">'03 Optimization Events'!I30</f>
        <v>15149.3388814062</v>
      </c>
      <c r="E30" s="25" t="n">
        <v>-0.623459993352419</v>
      </c>
      <c r="F30" s="18" t="n">
        <f aca="false">-(EXP(E30)-1)*D30</f>
        <v>7027.98479679188</v>
      </c>
      <c r="G30" s="25" t="n">
        <v>-0.602916206811878</v>
      </c>
      <c r="H30" s="29" t="n">
        <f aca="false">EXP(-0.851655304037839)-1</f>
        <v>-0.573291984471744</v>
      </c>
      <c r="I30" s="29" t="n">
        <f aca="false">EXP(-0.354177109585918)-1</f>
        <v>-0.298249330421951</v>
      </c>
      <c r="J30" s="25" t="n">
        <v>0.024390243902439</v>
      </c>
      <c r="K30" s="30" t="b">
        <f aca="false">TRUE()</f>
        <v>1</v>
      </c>
      <c r="L30" s="30" t="b">
        <f aca="false">IF('10 Assumptions'!$B$24="Yes",TRUE(),K30)</f>
        <v>1</v>
      </c>
      <c r="M30" s="18" t="n">
        <f aca="false">-(EXP(G30)-1)*D30</f>
        <v>6859.4158383367</v>
      </c>
      <c r="N30" s="18" t="n">
        <f aca="false">IF(L30,M30,0)</f>
        <v>6859.4158383367</v>
      </c>
      <c r="O30" s="31" t="n">
        <v>-0.613767354040031</v>
      </c>
      <c r="P30" s="32" t="n">
        <f aca="false">-(EXP(O30)-1)*D30</f>
        <v>6948.88471591342</v>
      </c>
      <c r="Q30" s="32" t="n">
        <f aca="false">ABS(F30-P30)</f>
        <v>79.100080878462</v>
      </c>
      <c r="R30" s="30" t="b">
        <f aca="false">FALSE()</f>
        <v>0</v>
      </c>
    </row>
    <row r="31" customFormat="false" ht="15" hidden="false" customHeight="false" outlineLevel="0" collapsed="false">
      <c r="A31" s="33" t="str">
        <f aca="false">'03 Optimization Events'!A31</f>
        <v>i-079</v>
      </c>
      <c r="B31" s="33" t="str">
        <f aca="false">'03 Optimization Events'!C31</f>
        <v>bu-datasci</v>
      </c>
      <c r="C31" s="33" t="str">
        <f aca="false">'03 Optimization Events'!D31</f>
        <v>consolidate_cluster</v>
      </c>
      <c r="D31" s="34" t="n">
        <f aca="false">'03 Optimization Events'!I31</f>
        <v>24354.6117602789</v>
      </c>
      <c r="E31" s="27" t="n">
        <v>-0.712717013900627</v>
      </c>
      <c r="F31" s="22" t="n">
        <f aca="false">-(EXP(E31)-1)*D31</f>
        <v>12413.2970413272</v>
      </c>
      <c r="G31" s="27" t="n">
        <v>-0.678571785146807</v>
      </c>
      <c r="H31" s="35" t="n">
        <f aca="false">EXP(-0.973573708624723)-1</f>
        <v>-0.622269276391127</v>
      </c>
      <c r="I31" s="35" t="n">
        <f aca="false">EXP(-0.383569861668891)-1</f>
        <v>-0.318575529064942</v>
      </c>
      <c r="J31" s="27" t="n">
        <v>0.024390243902439</v>
      </c>
      <c r="K31" s="36" t="b">
        <f aca="false">TRUE()</f>
        <v>1</v>
      </c>
      <c r="L31" s="36" t="b">
        <f aca="false">IF('10 Assumptions'!$B$24="Yes",TRUE(),K31)</f>
        <v>1</v>
      </c>
      <c r="M31" s="22" t="n">
        <f aca="false">-(EXP(G31)-1)*D31</f>
        <v>11998.5170380143</v>
      </c>
      <c r="N31" s="22" t="n">
        <f aca="false">IF(L31,M31,0)</f>
        <v>11998.5170380143</v>
      </c>
      <c r="O31" s="31" t="n">
        <v>-0.61785884383099</v>
      </c>
      <c r="P31" s="32" t="n">
        <f aca="false">-(EXP(O31)-1)*D31</f>
        <v>11225.101577312</v>
      </c>
      <c r="Q31" s="32" t="n">
        <f aca="false">ABS(F31-P31)</f>
        <v>1188.19546401518</v>
      </c>
      <c r="R31" s="36" t="b">
        <f aca="false">FALSE()</f>
        <v>0</v>
      </c>
    </row>
    <row r="32" customFormat="false" ht="15" hidden="false" customHeight="false" outlineLevel="0" collapsed="false">
      <c r="A32" s="15" t="str">
        <f aca="false">'03 Optimization Events'!A32</f>
        <v>i-005</v>
      </c>
      <c r="B32" s="15" t="str">
        <f aca="false">'03 Optimization Events'!C32</f>
        <v>bu-platform</v>
      </c>
      <c r="C32" s="15" t="str">
        <f aca="false">'03 Optimization Events'!D32</f>
        <v>tune_batch_size</v>
      </c>
      <c r="D32" s="8" t="n">
        <f aca="false">'03 Optimization Events'!I32</f>
        <v>16912.9186781415</v>
      </c>
      <c r="E32" s="25" t="n">
        <v>-0.820398736699926</v>
      </c>
      <c r="F32" s="18" t="n">
        <f aca="false">-(EXP(E32)-1)*D32</f>
        <v>9466.90351371972</v>
      </c>
      <c r="G32" s="25" t="n">
        <v>-0.826251573899743</v>
      </c>
      <c r="H32" s="29" t="n">
        <f aca="false">EXP(-1.11231679036596)-1</f>
        <v>-0.671203674176723</v>
      </c>
      <c r="I32" s="29" t="n">
        <f aca="false">EXP(-0.540186357433524)-1</f>
        <v>-0.417360336976182</v>
      </c>
      <c r="J32" s="25" t="n">
        <v>0.024390243902439</v>
      </c>
      <c r="K32" s="30" t="b">
        <f aca="false">TRUE()</f>
        <v>1</v>
      </c>
      <c r="L32" s="30" t="b">
        <f aca="false">IF('10 Assumptions'!$B$24="Yes",TRUE(),K32)</f>
        <v>1</v>
      </c>
      <c r="M32" s="18" t="n">
        <f aca="false">-(EXP(G32)-1)*D32</f>
        <v>9510.35654247012</v>
      </c>
      <c r="N32" s="18" t="n">
        <f aca="false">IF(L32,M32,0)</f>
        <v>9510.35654247012</v>
      </c>
      <c r="O32" s="31" t="n">
        <v>-1.05568841205482</v>
      </c>
      <c r="P32" s="32" t="n">
        <f aca="false">-(EXP(O32)-1)*D32</f>
        <v>11028.0210999806</v>
      </c>
      <c r="Q32" s="32" t="n">
        <f aca="false">ABS(F32-P32)</f>
        <v>1561.11758626092</v>
      </c>
      <c r="R32" s="30" t="b">
        <f aca="false">FALSE()</f>
        <v>0</v>
      </c>
    </row>
    <row r="33" customFormat="false" ht="15" hidden="false" customHeight="false" outlineLevel="0" collapsed="false">
      <c r="A33" s="33" t="str">
        <f aca="false">'03 Optimization Events'!A33</f>
        <v>i-002</v>
      </c>
      <c r="B33" s="33" t="str">
        <f aca="false">'03 Optimization Events'!C33</f>
        <v>bu-checkout</v>
      </c>
      <c r="C33" s="33" t="str">
        <f aca="false">'03 Optimization Events'!D33</f>
        <v>tune_batch_size</v>
      </c>
      <c r="D33" s="34" t="n">
        <f aca="false">'03 Optimization Events'!I33</f>
        <v>11589.5132384446</v>
      </c>
      <c r="E33" s="27" t="n">
        <v>-1.13362296057782</v>
      </c>
      <c r="F33" s="22" t="n">
        <f aca="false">-(EXP(E33)-1)*D33</f>
        <v>7859.25412936849</v>
      </c>
      <c r="G33" s="27" t="n">
        <v>-1.18072932742113</v>
      </c>
      <c r="H33" s="35" t="n">
        <f aca="false">EXP(-1.45450359792976)-1</f>
        <v>-0.766483746913577</v>
      </c>
      <c r="I33" s="35" t="n">
        <f aca="false">EXP(-0.906955056912496)-1</f>
        <v>-0.596248244679827</v>
      </c>
      <c r="J33" s="27" t="n">
        <v>0.024390243902439</v>
      </c>
      <c r="K33" s="36" t="b">
        <f aca="false">TRUE()</f>
        <v>1</v>
      </c>
      <c r="L33" s="36" t="b">
        <f aca="false">IF('10 Assumptions'!$B$24="Yes",TRUE(),K33)</f>
        <v>1</v>
      </c>
      <c r="M33" s="22" t="n">
        <f aca="false">-(EXP(G33)-1)*D33</f>
        <v>8030.8985714687</v>
      </c>
      <c r="N33" s="22" t="n">
        <f aca="false">IF(L33,M33,0)</f>
        <v>8030.8985714687</v>
      </c>
      <c r="O33" s="31" t="n">
        <v>-1.33539752329155</v>
      </c>
      <c r="P33" s="32" t="n">
        <f aca="false">-(EXP(O33)-1)*D33</f>
        <v>8540.85023565778</v>
      </c>
      <c r="Q33" s="32" t="n">
        <f aca="false">ABS(F33-P33)</f>
        <v>681.596106289295</v>
      </c>
      <c r="R33" s="36" t="b">
        <f aca="false">FALSE()</f>
        <v>0</v>
      </c>
    </row>
    <row r="34" customFormat="false" ht="15" hidden="false" customHeight="false" outlineLevel="0" collapsed="false">
      <c r="A34" s="15" t="str">
        <f aca="false">'03 Optimization Events'!A34</f>
        <v>i-026</v>
      </c>
      <c r="B34" s="15" t="str">
        <f aca="false">'03 Optimization Events'!C34</f>
        <v>bu-search</v>
      </c>
      <c r="C34" s="15" t="str">
        <f aca="false">'03 Optimization Events'!D34</f>
        <v>enable_autoscaling</v>
      </c>
      <c r="D34" s="8" t="n">
        <f aca="false">'03 Optimization Events'!I34</f>
        <v>4349.09407166985</v>
      </c>
      <c r="E34" s="25" t="n">
        <v>-0.774093746317608</v>
      </c>
      <c r="F34" s="18" t="n">
        <f aca="false">-(EXP(E34)-1)*D34</f>
        <v>2343.6333560624</v>
      </c>
      <c r="G34" s="25" t="n">
        <v>-0.79942949509921</v>
      </c>
      <c r="H34" s="29" t="n">
        <f aca="false">EXP(-1.08646207121041)-1</f>
        <v>-0.662591889596087</v>
      </c>
      <c r="I34" s="29" t="n">
        <f aca="false">EXP(-0.512396918988007)-1</f>
        <v>-0.400942036830403</v>
      </c>
      <c r="J34" s="25" t="n">
        <v>0.024390243902439</v>
      </c>
      <c r="K34" s="30" t="b">
        <f aca="false">TRUE()</f>
        <v>1</v>
      </c>
      <c r="L34" s="30" t="b">
        <f aca="false">IF('10 Assumptions'!$B$24="Yes",TRUE(),K34)</f>
        <v>1</v>
      </c>
      <c r="M34" s="18" t="n">
        <f aca="false">-(EXP(G34)-1)*D34</f>
        <v>2393.80495371301</v>
      </c>
      <c r="N34" s="18" t="n">
        <f aca="false">IF(L34,M34,0)</f>
        <v>2393.80495371301</v>
      </c>
      <c r="O34" s="31" t="n">
        <v>-0.923276013544035</v>
      </c>
      <c r="P34" s="32" t="n">
        <f aca="false">-(EXP(O34)-1)*D34</f>
        <v>2621.56595841423</v>
      </c>
      <c r="Q34" s="32" t="n">
        <f aca="false">ABS(F34-P34)</f>
        <v>277.93260235183</v>
      </c>
      <c r="R34" s="30" t="b">
        <f aca="false">FALSE()</f>
        <v>0</v>
      </c>
    </row>
    <row r="35" customFormat="false" ht="15" hidden="false" customHeight="false" outlineLevel="0" collapsed="false">
      <c r="A35" s="33" t="str">
        <f aca="false">'03 Optimization Events'!A35</f>
        <v>i-076</v>
      </c>
      <c r="B35" s="33" t="str">
        <f aca="false">'03 Optimization Events'!C35</f>
        <v>bu-datasci</v>
      </c>
      <c r="C35" s="33" t="str">
        <f aca="false">'03 Optimization Events'!D35</f>
        <v>rightsize_instance</v>
      </c>
      <c r="D35" s="34" t="n">
        <f aca="false">'03 Optimization Events'!I35</f>
        <v>139435.031680932</v>
      </c>
      <c r="E35" s="27" t="n">
        <v>-0.367683337153144</v>
      </c>
      <c r="F35" s="22" t="n">
        <f aca="false">-(EXP(E35)-1)*D35</f>
        <v>42899.0860174463</v>
      </c>
      <c r="G35" s="27" t="n">
        <v>-0.282041175448101</v>
      </c>
      <c r="H35" s="35" t="n">
        <f aca="false">EXP(-0.593903561551567)-1</f>
        <v>-0.447832348069043</v>
      </c>
      <c r="I35" s="35" t="n">
        <f aca="false">EXP(0.0298212106553653)-1</f>
        <v>0.030270316131298</v>
      </c>
      <c r="J35" s="27" t="n">
        <v>0.0731707317073171</v>
      </c>
      <c r="K35" s="36" t="b">
        <f aca="false">TRUE()</f>
        <v>1</v>
      </c>
      <c r="L35" s="36" t="b">
        <f aca="false">IF('10 Assumptions'!$B$24="Yes",TRUE(),K35)</f>
        <v>1</v>
      </c>
      <c r="M35" s="22" t="n">
        <f aca="false">-(EXP(G35)-1)*D35</f>
        <v>34267.1870042508</v>
      </c>
      <c r="N35" s="22" t="n">
        <f aca="false">IF(L35,M35,0)</f>
        <v>34267.1870042508</v>
      </c>
      <c r="O35" s="31" t="n">
        <v>-0.403930739680014</v>
      </c>
      <c r="P35" s="32" t="n">
        <f aca="false">-(EXP(O35)-1)*D35</f>
        <v>46335.6046073948</v>
      </c>
      <c r="Q35" s="32" t="n">
        <f aca="false">ABS(F35-P35)</f>
        <v>3436.51858994848</v>
      </c>
      <c r="R35" s="36" t="b">
        <f aca="false">FALSE()</f>
        <v>0</v>
      </c>
    </row>
    <row r="36" customFormat="false" ht="15" hidden="false" customHeight="false" outlineLevel="0" collapsed="false">
      <c r="A36" s="15" t="str">
        <f aca="false">'03 Optimization Events'!A36</f>
        <v>i-056</v>
      </c>
      <c r="B36" s="15" t="str">
        <f aca="false">'03 Optimization Events'!C36</f>
        <v>bu-search</v>
      </c>
      <c r="C36" s="15" t="str">
        <f aca="false">'03 Optimization Events'!D36</f>
        <v>migrate_storage_class</v>
      </c>
      <c r="D36" s="8" t="n">
        <f aca="false">'03 Optimization Events'!I36</f>
        <v>7423.01379049393</v>
      </c>
      <c r="E36" s="25" t="n">
        <v>-0.35282599073438</v>
      </c>
      <c r="F36" s="18" t="n">
        <f aca="false">-(EXP(E36)-1)*D36</f>
        <v>2206.86601609043</v>
      </c>
      <c r="G36" s="25" t="n">
        <v>-0.428276137151859</v>
      </c>
      <c r="H36" s="29" t="n">
        <f aca="false">EXP(-0.819109698773683)-1</f>
        <v>-0.55917605404902</v>
      </c>
      <c r="I36" s="29" t="n">
        <f aca="false">EXP(-0.0374425755300337)-1</f>
        <v>-0.0367502697621352</v>
      </c>
      <c r="J36" s="25" t="n">
        <v>0.121951219512195</v>
      </c>
      <c r="K36" s="30" t="b">
        <f aca="false">FALSE()</f>
        <v>0</v>
      </c>
      <c r="L36" s="30" t="b">
        <f aca="false">IF('10 Assumptions'!$B$24="Yes",TRUE(),K36)</f>
        <v>0</v>
      </c>
      <c r="M36" s="18" t="n">
        <f aca="false">-(EXP(G36)-1)*D36</f>
        <v>2585.9445485998</v>
      </c>
      <c r="N36" s="18" t="n">
        <f aca="false">IF(L36,M36,0)</f>
        <v>0</v>
      </c>
      <c r="O36" s="31" t="n">
        <v>-0.659341133213316</v>
      </c>
      <c r="P36" s="32" t="n">
        <f aca="false">-(EXP(O36)-1)*D36</f>
        <v>3583.89056925556</v>
      </c>
      <c r="Q36" s="32" t="n">
        <f aca="false">ABS(F36-P36)</f>
        <v>1377.02455316513</v>
      </c>
      <c r="R36" s="30" t="b">
        <f aca="false">FALSE()</f>
        <v>0</v>
      </c>
    </row>
    <row r="37" customFormat="false" ht="15" hidden="false" customHeight="false" outlineLevel="0" collapsed="false">
      <c r="A37" s="33" t="str">
        <f aca="false">'03 Optimization Events'!A37</f>
        <v>i-035</v>
      </c>
      <c r="B37" s="33" t="str">
        <f aca="false">'03 Optimization Events'!C37</f>
        <v>bu-platform</v>
      </c>
      <c r="C37" s="33" t="str">
        <f aca="false">'03 Optimization Events'!D37</f>
        <v>consolidate_cluster</v>
      </c>
      <c r="D37" s="34" t="n">
        <f aca="false">'03 Optimization Events'!I37</f>
        <v>10768.2381417608</v>
      </c>
      <c r="E37" s="27" t="n">
        <v>-0.967094489386855</v>
      </c>
      <c r="F37" s="22" t="n">
        <f aca="false">-(EXP(E37)-1)*D37</f>
        <v>6674.3040066375</v>
      </c>
      <c r="G37" s="27" t="n">
        <v>-0.933696176476646</v>
      </c>
      <c r="H37" s="35" t="n">
        <f aca="false">EXP(-1.31344241563948)-1</f>
        <v>-0.731107179515911</v>
      </c>
      <c r="I37" s="35" t="n">
        <f aca="false">EXP(-0.553949937313814)-1</f>
        <v>-0.425324610336977</v>
      </c>
      <c r="J37" s="27" t="n">
        <v>0.024390243902439</v>
      </c>
      <c r="K37" s="36" t="b">
        <f aca="false">TRUE()</f>
        <v>1</v>
      </c>
      <c r="L37" s="36" t="b">
        <f aca="false">IF('10 Assumptions'!$B$24="Yes",TRUE(),K37)</f>
        <v>1</v>
      </c>
      <c r="M37" s="22" t="n">
        <f aca="false">-(EXP(G37)-1)*D37</f>
        <v>6535.26459651685</v>
      </c>
      <c r="N37" s="22" t="n">
        <f aca="false">IF(L37,M37,0)</f>
        <v>6535.26459651685</v>
      </c>
      <c r="O37" s="31" t="n">
        <v>-1.00401531017481</v>
      </c>
      <c r="P37" s="32" t="n">
        <f aca="false">-(EXP(O37)-1)*D37</f>
        <v>6822.69912374873</v>
      </c>
      <c r="Q37" s="32" t="n">
        <f aca="false">ABS(F37-P37)</f>
        <v>148.395117111235</v>
      </c>
      <c r="R37" s="36" t="b">
        <f aca="false">FALSE()</f>
        <v>0</v>
      </c>
    </row>
    <row r="38" customFormat="false" ht="15" hidden="false" customHeight="false" outlineLevel="0" collapsed="false">
      <c r="A38" s="15" t="str">
        <f aca="false">'03 Optimization Events'!A38</f>
        <v>i-044</v>
      </c>
      <c r="B38" s="15" t="str">
        <f aca="false">'03 Optimization Events'!C38</f>
        <v>bu-search</v>
      </c>
      <c r="C38" s="15" t="str">
        <f aca="false">'03 Optimization Events'!D38</f>
        <v>enable_autoscaling</v>
      </c>
      <c r="D38" s="8" t="n">
        <f aca="false">'03 Optimization Events'!I38</f>
        <v>13007.0610893939</v>
      </c>
      <c r="E38" s="25" t="n">
        <v>-0.825046700396896</v>
      </c>
      <c r="F38" s="18" t="n">
        <f aca="false">-(EXP(E38)-1)*D38</f>
        <v>7307.17796391205</v>
      </c>
      <c r="G38" s="25" t="n">
        <v>-0.849602150265181</v>
      </c>
      <c r="H38" s="29" t="n">
        <f aca="false">EXP(-1.03819559800658)-1</f>
        <v>-0.645906967961631</v>
      </c>
      <c r="I38" s="29" t="n">
        <f aca="false">EXP(-0.661008702523781)-1</f>
        <v>-0.48366975189906</v>
      </c>
      <c r="J38" s="25" t="n">
        <v>0.024390243902439</v>
      </c>
      <c r="K38" s="30" t="b">
        <f aca="false">TRUE()</f>
        <v>1</v>
      </c>
      <c r="L38" s="30" t="b">
        <f aca="false">IF('10 Assumptions'!$B$24="Yes",TRUE(),K38)</f>
        <v>1</v>
      </c>
      <c r="M38" s="18" t="n">
        <f aca="false">-(EXP(G38)-1)*D38</f>
        <v>7445.43670833335</v>
      </c>
      <c r="N38" s="18" t="n">
        <f aca="false">IF(L38,M38,0)</f>
        <v>7445.43670833335</v>
      </c>
      <c r="O38" s="31" t="n">
        <v>-0.857879928536189</v>
      </c>
      <c r="P38" s="32" t="n">
        <f aca="false">-(EXP(O38)-1)*D38</f>
        <v>7491.28458072825</v>
      </c>
      <c r="Q38" s="32" t="n">
        <f aca="false">ABS(F38-P38)</f>
        <v>184.106616816192</v>
      </c>
      <c r="R38" s="30" t="b">
        <f aca="false">FALSE()</f>
        <v>0</v>
      </c>
    </row>
    <row r="39" customFormat="false" ht="15" hidden="false" customHeight="false" outlineLevel="0" collapsed="false">
      <c r="A39" s="33" t="str">
        <f aca="false">'03 Optimization Events'!A39</f>
        <v>i-094</v>
      </c>
      <c r="B39" s="33" t="str">
        <f aca="false">'03 Optimization Events'!C39</f>
        <v>bu-platform</v>
      </c>
      <c r="C39" s="33" t="str">
        <f aca="false">'03 Optimization Events'!D39</f>
        <v>tune_batch_size</v>
      </c>
      <c r="D39" s="34" t="n">
        <f aca="false">'03 Optimization Events'!I39</f>
        <v>61120.3751881944</v>
      </c>
      <c r="E39" s="27" t="n">
        <v>0.0948243842219823</v>
      </c>
      <c r="F39" s="22" t="n">
        <f aca="false">-(EXP(E39)-1)*D39</f>
        <v>-6079.38424178717</v>
      </c>
      <c r="G39" s="27" t="n">
        <v>-0.0121084128456148</v>
      </c>
      <c r="H39" s="35" t="n">
        <f aca="false">EXP(-0.419832833021877)-1</f>
        <v>-0.342843334472557</v>
      </c>
      <c r="I39" s="35" t="n">
        <f aca="false">EXP(0.395616007330647)-1</f>
        <v>0.485298864157804</v>
      </c>
      <c r="J39" s="27" t="n">
        <v>0.878048780487805</v>
      </c>
      <c r="K39" s="36" t="b">
        <f aca="false">TRUE()</f>
        <v>1</v>
      </c>
      <c r="L39" s="36" t="b">
        <f aca="false">IF('10 Assumptions'!$B$24="Yes",TRUE(),K39)</f>
        <v>1</v>
      </c>
      <c r="M39" s="22" t="n">
        <f aca="false">-(EXP(G39)-1)*D39</f>
        <v>735.608224523963</v>
      </c>
      <c r="N39" s="22" t="n">
        <f aca="false">IF(L39,M39,0)</f>
        <v>735.608224523963</v>
      </c>
      <c r="O39" s="31" t="n">
        <v>0</v>
      </c>
      <c r="P39" s="32" t="n">
        <f aca="false">-(EXP(O39)-1)*D39</f>
        <v>-0</v>
      </c>
      <c r="Q39" s="32" t="n">
        <f aca="false">ABS(F39-P39)</f>
        <v>6079.38424178717</v>
      </c>
      <c r="R39" s="36" t="b">
        <f aca="false">TRUE()</f>
        <v>1</v>
      </c>
    </row>
    <row r="40" customFormat="false" ht="15" hidden="false" customHeight="false" outlineLevel="0" collapsed="false">
      <c r="A40" s="15" t="str">
        <f aca="false">'03 Optimization Events'!A40</f>
        <v>i-080</v>
      </c>
      <c r="B40" s="15" t="str">
        <f aca="false">'03 Optimization Events'!C40</f>
        <v>bu-checkout</v>
      </c>
      <c r="C40" s="15" t="str">
        <f aca="false">'03 Optimization Events'!D40</f>
        <v>schedule_shutdown</v>
      </c>
      <c r="D40" s="8" t="n">
        <f aca="false">'03 Optimization Events'!I40</f>
        <v>9665.80802704539</v>
      </c>
      <c r="E40" s="25" t="n">
        <v>-0.473288055458289</v>
      </c>
      <c r="F40" s="18" t="n">
        <f aca="false">-(EXP(E40)-1)*D40</f>
        <v>3644.48710735644</v>
      </c>
      <c r="G40" s="25" t="n">
        <v>-0.554144897416989</v>
      </c>
      <c r="H40" s="29" t="n">
        <f aca="false">EXP(-0.709551548481789)-1</f>
        <v>-0.508135274507894</v>
      </c>
      <c r="I40" s="29" t="n">
        <f aca="false">EXP(-0.398738246352189)-1</f>
        <v>-0.328833641394367</v>
      </c>
      <c r="J40" s="25" t="n">
        <v>0.024390243902439</v>
      </c>
      <c r="K40" s="30" t="b">
        <f aca="false">TRUE()</f>
        <v>1</v>
      </c>
      <c r="L40" s="30" t="b">
        <f aca="false">IF('10 Assumptions'!$B$24="Yes",TRUE(),K40)</f>
        <v>1</v>
      </c>
      <c r="M40" s="18" t="n">
        <f aca="false">-(EXP(G40)-1)*D40</f>
        <v>4112.18887241033</v>
      </c>
      <c r="N40" s="18" t="n">
        <f aca="false">IF(L40,M40,0)</f>
        <v>4112.18887241033</v>
      </c>
      <c r="O40" s="31" t="n">
        <v>-0.477837935687972</v>
      </c>
      <c r="P40" s="32" t="n">
        <f aca="false">-(EXP(O40)-1)*D40</f>
        <v>3671.82116586486</v>
      </c>
      <c r="Q40" s="32" t="n">
        <f aca="false">ABS(F40-P40)</f>
        <v>27.3340585084206</v>
      </c>
      <c r="R40" s="30" t="b">
        <f aca="false">FALSE()</f>
        <v>0</v>
      </c>
    </row>
    <row r="41" customFormat="false" ht="15" hidden="false" customHeight="false" outlineLevel="0" collapsed="false">
      <c r="A41" s="33" t="str">
        <f aca="false">'03 Optimization Events'!A41</f>
        <v>i-061</v>
      </c>
      <c r="B41" s="33" t="str">
        <f aca="false">'03 Optimization Events'!C41</f>
        <v>bu-platform</v>
      </c>
      <c r="C41" s="33" t="str">
        <f aca="false">'03 Optimization Events'!D41</f>
        <v>delete_orphaned_volume</v>
      </c>
      <c r="D41" s="34" t="n">
        <f aca="false">'03 Optimization Events'!I41</f>
        <v>1131.33616265656</v>
      </c>
      <c r="E41" s="27" t="n">
        <v>-0.622002982218882</v>
      </c>
      <c r="F41" s="22" t="n">
        <f aca="false">-(EXP(E41)-1)*D41</f>
        <v>523.957953853787</v>
      </c>
      <c r="G41" s="27" t="n">
        <v>-0.694302264342754</v>
      </c>
      <c r="H41" s="35" t="n">
        <f aca="false">EXP(-0.983564970677505)-1</f>
        <v>-0.62602449212511</v>
      </c>
      <c r="I41" s="35" t="n">
        <f aca="false">EXP(-0.405039558008002)-1</f>
        <v>-0.333049572893699</v>
      </c>
      <c r="J41" s="27" t="n">
        <v>0.024390243902439</v>
      </c>
      <c r="K41" s="36" t="b">
        <f aca="false">TRUE()</f>
        <v>1</v>
      </c>
      <c r="L41" s="36" t="b">
        <f aca="false">IF('10 Assumptions'!$B$24="Yes",TRUE(),K41)</f>
        <v>1</v>
      </c>
      <c r="M41" s="22" t="n">
        <f aca="false">-(EXP(G41)-1)*D41</f>
        <v>566.321098138304</v>
      </c>
      <c r="N41" s="22" t="n">
        <f aca="false">IF(L41,M41,0)</f>
        <v>566.321098138304</v>
      </c>
      <c r="O41" s="31" t="n">
        <v>-0.830462719631573</v>
      </c>
      <c r="P41" s="32" t="n">
        <f aca="false">-(EXP(O41)-1)*D41</f>
        <v>638.246051610706</v>
      </c>
      <c r="Q41" s="32" t="n">
        <f aca="false">ABS(F41-P41)</f>
        <v>114.288097756919</v>
      </c>
      <c r="R41" s="36" t="b">
        <f aca="false">FALSE()</f>
        <v>0</v>
      </c>
    </row>
    <row r="42" customFormat="false" ht="15" hidden="false" customHeight="false" outlineLevel="0" collapsed="false">
      <c r="A42" s="15" t="str">
        <f aca="false">'03 Optimization Events'!A42</f>
        <v>i-018</v>
      </c>
      <c r="B42" s="15" t="str">
        <f aca="false">'03 Optimization Events'!C42</f>
        <v>bu-assist</v>
      </c>
      <c r="C42" s="15" t="str">
        <f aca="false">'03 Optimization Events'!D42</f>
        <v>rightsize_instance</v>
      </c>
      <c r="D42" s="8" t="n">
        <f aca="false">'03 Optimization Events'!I42</f>
        <v>3070.76897308038</v>
      </c>
      <c r="E42" s="25" t="n">
        <v>-2.1311010141498</v>
      </c>
      <c r="F42" s="18" t="n">
        <f aca="false">-(EXP(E42)-1)*D42</f>
        <v>2706.24866131743</v>
      </c>
      <c r="G42" s="25" t="n">
        <v>-2.01231434713737</v>
      </c>
      <c r="H42" s="29" t="n">
        <f aca="false">EXP(-2.36127097155564)-1</f>
        <v>-0.90569970599222</v>
      </c>
      <c r="I42" s="29" t="n">
        <f aca="false">EXP(-1.66335772271909)-1</f>
        <v>-0.810498383228266</v>
      </c>
      <c r="J42" s="25" t="n">
        <v>0.024390243902439</v>
      </c>
      <c r="K42" s="30" t="b">
        <f aca="false">TRUE()</f>
        <v>1</v>
      </c>
      <c r="L42" s="30" t="b">
        <f aca="false">IF('10 Assumptions'!$B$24="Yes",TRUE(),K42)</f>
        <v>1</v>
      </c>
      <c r="M42" s="18" t="n">
        <f aca="false">-(EXP(G42)-1)*D42</f>
        <v>2660.27184122675</v>
      </c>
      <c r="N42" s="18" t="n">
        <f aca="false">IF(L42,M42,0)</f>
        <v>2660.27184122675</v>
      </c>
      <c r="O42" s="31" t="n">
        <v>-1.20230198975167</v>
      </c>
      <c r="P42" s="32" t="n">
        <f aca="false">-(EXP(O42)-1)*D42</f>
        <v>2147.99778890986</v>
      </c>
      <c r="Q42" s="32" t="n">
        <f aca="false">ABS(F42-P42)</f>
        <v>558.250872407574</v>
      </c>
      <c r="R42" s="30" t="b">
        <f aca="false">FALSE()</f>
        <v>0</v>
      </c>
    </row>
    <row r="43" customFormat="false" ht="15" hidden="false" customHeight="false" outlineLevel="0" collapsed="false">
      <c r="A43" s="33" t="str">
        <f aca="false">'03 Optimization Events'!A43</f>
        <v>i-012</v>
      </c>
      <c r="B43" s="33" t="str">
        <f aca="false">'03 Optimization Events'!C43</f>
        <v>bu-datalake</v>
      </c>
      <c r="C43" s="33" t="str">
        <f aca="false">'03 Optimization Events'!D43</f>
        <v>rightsize_instance</v>
      </c>
      <c r="D43" s="34" t="n">
        <f aca="false">'03 Optimization Events'!I43</f>
        <v>43215.9691001903</v>
      </c>
      <c r="E43" s="27" t="n">
        <v>-1.02344110835272</v>
      </c>
      <c r="F43" s="22" t="n">
        <f aca="false">-(EXP(E43)-1)*D43</f>
        <v>27686.0415237395</v>
      </c>
      <c r="G43" s="27" t="n">
        <v>-0.90823786530986</v>
      </c>
      <c r="H43" s="35" t="n">
        <f aca="false">EXP(-1.18380872252231)-1</f>
        <v>-0.693889374928961</v>
      </c>
      <c r="I43" s="35" t="n">
        <f aca="false">EXP(-0.632667008097409)-1</f>
        <v>-0.468826733177096</v>
      </c>
      <c r="J43" s="27" t="n">
        <v>0.024390243902439</v>
      </c>
      <c r="K43" s="36" t="b">
        <f aca="false">TRUE()</f>
        <v>1</v>
      </c>
      <c r="L43" s="36" t="b">
        <f aca="false">IF('10 Assumptions'!$B$24="Yes",TRUE(),K43)</f>
        <v>1</v>
      </c>
      <c r="M43" s="22" t="n">
        <f aca="false">-(EXP(G43)-1)*D43</f>
        <v>25789.8144799569</v>
      </c>
      <c r="N43" s="22" t="n">
        <f aca="false">IF(L43,M43,0)</f>
        <v>25789.8144799569</v>
      </c>
      <c r="O43" s="31" t="n">
        <v>-0.966767917437882</v>
      </c>
      <c r="P43" s="32" t="n">
        <f aca="false">-(EXP(O43)-1)*D43</f>
        <v>26780.4931769944</v>
      </c>
      <c r="Q43" s="32" t="n">
        <f aca="false">ABS(F43-P43)</f>
        <v>905.548346745149</v>
      </c>
      <c r="R43" s="36" t="b">
        <f aca="false">FALSE()</f>
        <v>0</v>
      </c>
    </row>
    <row r="44" customFormat="false" ht="15" hidden="false" customHeight="false" outlineLevel="0" collapsed="false">
      <c r="A44" s="15" t="str">
        <f aca="false">'03 Optimization Events'!A44</f>
        <v>i-046</v>
      </c>
      <c r="B44" s="15" t="str">
        <f aca="false">'03 Optimization Events'!C44</f>
        <v>bu-assist</v>
      </c>
      <c r="C44" s="15" t="str">
        <f aca="false">'03 Optimization Events'!D44</f>
        <v>rightsize_instance</v>
      </c>
      <c r="D44" s="8" t="n">
        <f aca="false">'03 Optimization Events'!I44</f>
        <v>43393.1481884294</v>
      </c>
      <c r="E44" s="25" t="n">
        <v>-0.922348724371966</v>
      </c>
      <c r="F44" s="18" t="n">
        <f aca="false">-(EXP(E44)-1)*D44</f>
        <v>26140.7212023139</v>
      </c>
      <c r="G44" s="25" t="n">
        <v>-0.875977905366063</v>
      </c>
      <c r="H44" s="29" t="n">
        <f aca="false">EXP(-1.11056291175308)-1</f>
        <v>-0.670626499333513</v>
      </c>
      <c r="I44" s="29" t="n">
        <f aca="false">EXP(-0.64139289897905)-1</f>
        <v>-0.473441529755647</v>
      </c>
      <c r="J44" s="25" t="n">
        <v>0.024390243902439</v>
      </c>
      <c r="K44" s="30" t="b">
        <f aca="false">TRUE()</f>
        <v>1</v>
      </c>
      <c r="L44" s="30" t="b">
        <f aca="false">IF('10 Assumptions'!$B$24="Yes",TRUE(),K44)</f>
        <v>1</v>
      </c>
      <c r="M44" s="18" t="n">
        <f aca="false">-(EXP(G44)-1)*D44</f>
        <v>25321.8734345328</v>
      </c>
      <c r="N44" s="18" t="n">
        <f aca="false">IF(L44,M44,0)</f>
        <v>25321.8734345328</v>
      </c>
      <c r="O44" s="31" t="n">
        <v>-0.97896908577169</v>
      </c>
      <c r="P44" s="32" t="n">
        <f aca="false">-(EXP(O44)-1)*D44</f>
        <v>27090.420004928</v>
      </c>
      <c r="Q44" s="32" t="n">
        <f aca="false">ABS(F44-P44)</f>
        <v>949.698802614075</v>
      </c>
      <c r="R44" s="30" t="b">
        <f aca="false">FALSE()</f>
        <v>0</v>
      </c>
    </row>
    <row r="45" customFormat="false" ht="15" hidden="false" customHeight="false" outlineLevel="0" collapsed="false">
      <c r="A45" s="33" t="str">
        <f aca="false">'03 Optimization Events'!A45</f>
        <v>i-087</v>
      </c>
      <c r="B45" s="33" t="str">
        <f aca="false">'03 Optimization Events'!C45</f>
        <v>bu-checkout</v>
      </c>
      <c r="C45" s="33" t="str">
        <f aca="false">'03 Optimization Events'!D45</f>
        <v>migrate_storage_class</v>
      </c>
      <c r="D45" s="34" t="n">
        <f aca="false">'03 Optimization Events'!I45</f>
        <v>107190.597564846</v>
      </c>
      <c r="E45" s="27" t="n">
        <v>0.381649216401035</v>
      </c>
      <c r="F45" s="22" t="n">
        <f aca="false">-(EXP(E45)-1)*D45</f>
        <v>-49811.2780562135</v>
      </c>
      <c r="G45" s="27" t="n">
        <v>0.241259423351639</v>
      </c>
      <c r="H45" s="35" t="n">
        <f aca="false">EXP(-0.0573143693751691)-1</f>
        <v>-0.0557028354095221</v>
      </c>
      <c r="I45" s="35" t="n">
        <f aca="false">EXP(0.539833216078448)-1</f>
        <v>0.715720683696621</v>
      </c>
      <c r="J45" s="27" t="n">
        <v>0.146341463414634</v>
      </c>
      <c r="K45" s="36" t="b">
        <f aca="false">FALSE()</f>
        <v>0</v>
      </c>
      <c r="L45" s="36" t="b">
        <f aca="false">IF('10 Assumptions'!$B$24="Yes",TRUE(),K45)</f>
        <v>0</v>
      </c>
      <c r="M45" s="22" t="n">
        <f aca="false">-(EXP(G45)-1)*D45</f>
        <v>-29247.083153338</v>
      </c>
      <c r="N45" s="22" t="n">
        <f aca="false">IF(L45,M45,0)</f>
        <v>0</v>
      </c>
      <c r="O45" s="31" t="n">
        <v>0</v>
      </c>
      <c r="P45" s="32" t="n">
        <f aca="false">-(EXP(O45)-1)*D45</f>
        <v>-0</v>
      </c>
      <c r="Q45" s="32" t="n">
        <f aca="false">ABS(F45-P45)</f>
        <v>49811.2780562135</v>
      </c>
      <c r="R45" s="36" t="b">
        <f aca="false">TRUE()</f>
        <v>1</v>
      </c>
    </row>
    <row r="46" customFormat="false" ht="15" hidden="false" customHeight="false" outlineLevel="0" collapsed="false">
      <c r="A46" s="15" t="str">
        <f aca="false">'03 Optimization Events'!A46</f>
        <v>i-037</v>
      </c>
      <c r="B46" s="15" t="str">
        <f aca="false">'03 Optimization Events'!C46</f>
        <v>bu-datalake</v>
      </c>
      <c r="C46" s="15" t="str">
        <f aca="false">'03 Optimization Events'!D46</f>
        <v>migrate_storage_class</v>
      </c>
      <c r="D46" s="8" t="n">
        <f aca="false">'03 Optimization Events'!I46</f>
        <v>28532.0074627642</v>
      </c>
      <c r="E46" s="25" t="n">
        <v>-0.977924360045843</v>
      </c>
      <c r="F46" s="18" t="n">
        <f aca="false">-(EXP(E46)-1)*D46</f>
        <v>17801.3785667067</v>
      </c>
      <c r="G46" s="25" t="n">
        <v>-0.984907950159501</v>
      </c>
      <c r="H46" s="29" t="n">
        <f aca="false">EXP(-1.23900147970255)-1</f>
        <v>-0.710326681733324</v>
      </c>
      <c r="I46" s="29" t="n">
        <f aca="false">EXP(-0.730814420616451)-1</f>
        <v>-0.518483326749434</v>
      </c>
      <c r="J46" s="25" t="n">
        <v>0.024390243902439</v>
      </c>
      <c r="K46" s="30" t="b">
        <f aca="false">TRUE()</f>
        <v>1</v>
      </c>
      <c r="L46" s="30" t="b">
        <f aca="false">IF('10 Assumptions'!$B$24="Yes",TRUE(),K46)</f>
        <v>1</v>
      </c>
      <c r="M46" s="18" t="n">
        <f aca="false">-(EXP(G46)-1)*D46</f>
        <v>17876.0558194128</v>
      </c>
      <c r="N46" s="18" t="n">
        <f aca="false">IF(L46,M46,0)</f>
        <v>17876.0558194128</v>
      </c>
      <c r="O46" s="31" t="n">
        <v>-1.09946545803062</v>
      </c>
      <c r="P46" s="32" t="n">
        <f aca="false">-(EXP(O46)-1)*D46</f>
        <v>19029.4490596347</v>
      </c>
      <c r="Q46" s="32" t="n">
        <f aca="false">ABS(F46-P46)</f>
        <v>1228.070492928</v>
      </c>
      <c r="R46" s="30" t="b">
        <f aca="false">FALSE()</f>
        <v>0</v>
      </c>
    </row>
    <row r="47" customFormat="false" ht="15" hidden="false" customHeight="false" outlineLevel="0" collapsed="false">
      <c r="A47" s="33" t="str">
        <f aca="false">'03 Optimization Events'!A47</f>
        <v>i-059</v>
      </c>
      <c r="B47" s="33" t="str">
        <f aca="false">'03 Optimization Events'!C47</f>
        <v>bu-checkout</v>
      </c>
      <c r="C47" s="33" t="str">
        <f aca="false">'03 Optimization Events'!D47</f>
        <v>migrate_storage_class</v>
      </c>
      <c r="D47" s="34" t="n">
        <f aca="false">'03 Optimization Events'!I47</f>
        <v>1365.98153140793</v>
      </c>
      <c r="E47" s="27" t="n">
        <v>-0.362270892102</v>
      </c>
      <c r="F47" s="22" t="n">
        <f aca="false">-(EXP(E47)-1)*D47</f>
        <v>415.130289273845</v>
      </c>
      <c r="G47" s="27" t="n">
        <v>-0.416379442717759</v>
      </c>
      <c r="H47" s="35" t="n">
        <f aca="false">EXP(-0.655644980806071)-1</f>
        <v>-0.4808928595524</v>
      </c>
      <c r="I47" s="35" t="n">
        <f aca="false">EXP(-0.177113904629447)-1</f>
        <v>-0.162315637038338</v>
      </c>
      <c r="J47" s="27" t="n">
        <v>0.0487804878048781</v>
      </c>
      <c r="K47" s="36" t="b">
        <f aca="false">TRUE()</f>
        <v>1</v>
      </c>
      <c r="L47" s="36" t="b">
        <f aca="false">IF('10 Assumptions'!$B$24="Yes",TRUE(),K47)</f>
        <v>1</v>
      </c>
      <c r="M47" s="22" t="n">
        <f aca="false">-(EXP(G47)-1)*D47</f>
        <v>465.212320462668</v>
      </c>
      <c r="N47" s="22" t="n">
        <f aca="false">IF(L47,M47,0)</f>
        <v>465.212320462668</v>
      </c>
      <c r="O47" s="31" t="n">
        <v>-0.605383324070841</v>
      </c>
      <c r="P47" s="32" t="n">
        <f aca="false">-(EXP(O47)-1)*D47</f>
        <v>620.339827045724</v>
      </c>
      <c r="Q47" s="32" t="n">
        <f aca="false">ABS(F47-P47)</f>
        <v>205.209537771878</v>
      </c>
      <c r="R47" s="36" t="b">
        <f aca="false">FALSE()</f>
        <v>0</v>
      </c>
    </row>
    <row r="48" customFormat="false" ht="15" hidden="false" customHeight="false" outlineLevel="0" collapsed="false">
      <c r="A48" s="15" t="str">
        <f aca="false">'03 Optimization Events'!A48</f>
        <v>i-116</v>
      </c>
      <c r="B48" s="15" t="str">
        <f aca="false">'03 Optimization Events'!C48</f>
        <v>bu-platform</v>
      </c>
      <c r="C48" s="15" t="str">
        <f aca="false">'03 Optimization Events'!D48</f>
        <v>schedule_shutdown</v>
      </c>
      <c r="D48" s="8" t="n">
        <f aca="false">'03 Optimization Events'!I48</f>
        <v>14530.617616015</v>
      </c>
      <c r="E48" s="25" t="n">
        <v>0.0211448050494432</v>
      </c>
      <c r="F48" s="18" t="n">
        <f aca="false">-(EXP(E48)-1)*D48</f>
        <v>-310.518433220968</v>
      </c>
      <c r="G48" s="25" t="n">
        <v>0.032451100558124</v>
      </c>
      <c r="H48" s="29" t="n">
        <f aca="false">EXP(-0.30023429743725)-1</f>
        <v>-0.259355330796729</v>
      </c>
      <c r="I48" s="29" t="n">
        <f aca="false">EXP(0.365136498553498)-1</f>
        <v>0.440710649647958</v>
      </c>
      <c r="J48" s="25" t="n">
        <v>0.780487804878049</v>
      </c>
      <c r="K48" s="30" t="b">
        <f aca="false">TRUE()</f>
        <v>1</v>
      </c>
      <c r="L48" s="30" t="b">
        <f aca="false">IF('10 Assumptions'!$B$24="Yes",TRUE(),K48)</f>
        <v>1</v>
      </c>
      <c r="M48" s="18" t="n">
        <f aca="false">-(EXP(G48)-1)*D48</f>
        <v>-479.268876625475</v>
      </c>
      <c r="N48" s="18" t="n">
        <f aca="false">IF(L48,M48,0)</f>
        <v>-479.268876625475</v>
      </c>
      <c r="O48" s="31" t="n">
        <v>0</v>
      </c>
      <c r="P48" s="32" t="n">
        <f aca="false">-(EXP(O48)-1)*D48</f>
        <v>-0</v>
      </c>
      <c r="Q48" s="32" t="n">
        <f aca="false">ABS(F48-P48)</f>
        <v>310.518433220968</v>
      </c>
      <c r="R48" s="30" t="b">
        <f aca="false">TRUE()</f>
        <v>1</v>
      </c>
    </row>
    <row r="49" customFormat="false" ht="15" hidden="false" customHeight="false" outlineLevel="0" collapsed="false">
      <c r="A49" s="33" t="str">
        <f aca="false">'03 Optimization Events'!A49</f>
        <v>i-089</v>
      </c>
      <c r="B49" s="33" t="str">
        <f aca="false">'03 Optimization Events'!C49</f>
        <v>bu-platform</v>
      </c>
      <c r="C49" s="33" t="str">
        <f aca="false">'03 Optimization Events'!D49</f>
        <v>migrate_storage_class</v>
      </c>
      <c r="D49" s="34" t="n">
        <f aca="false">'03 Optimization Events'!I49</f>
        <v>6259.42212261536</v>
      </c>
      <c r="E49" s="27" t="n">
        <v>0.594237868413029</v>
      </c>
      <c r="F49" s="22" t="n">
        <f aca="false">-(EXP(E49)-1)*D49</f>
        <v>-5080.45810814748</v>
      </c>
      <c r="G49" s="27" t="n">
        <v>0.610500484377374</v>
      </c>
      <c r="H49" s="35" t="n">
        <f aca="false">EXP(0.110934103211983)-1</f>
        <v>0.117321276545177</v>
      </c>
      <c r="I49" s="35" t="n">
        <f aca="false">EXP(1.11006686554277)-1</f>
        <v>2.03456129524013</v>
      </c>
      <c r="J49" s="27" t="n">
        <v>0.024390243902439</v>
      </c>
      <c r="K49" s="36" t="b">
        <f aca="false">FALSE()</f>
        <v>0</v>
      </c>
      <c r="L49" s="36" t="b">
        <f aca="false">IF('10 Assumptions'!$B$24="Yes",TRUE(),K49)</f>
        <v>0</v>
      </c>
      <c r="M49" s="22" t="n">
        <f aca="false">-(EXP(G49)-1)*D49</f>
        <v>-5266.38193166271</v>
      </c>
      <c r="N49" s="22" t="n">
        <f aca="false">IF(L49,M49,0)</f>
        <v>0</v>
      </c>
      <c r="O49" s="31" t="n">
        <v>0</v>
      </c>
      <c r="P49" s="32" t="n">
        <f aca="false">-(EXP(O49)-1)*D49</f>
        <v>-0</v>
      </c>
      <c r="Q49" s="32" t="n">
        <f aca="false">ABS(F49-P49)</f>
        <v>5080.45810814748</v>
      </c>
      <c r="R49" s="36" t="b">
        <f aca="false">TRUE()</f>
        <v>1</v>
      </c>
    </row>
    <row r="50" customFormat="false" ht="15" hidden="false" customHeight="false" outlineLevel="0" collapsed="false">
      <c r="A50" s="15" t="str">
        <f aca="false">'03 Optimization Events'!A50</f>
        <v>i-085</v>
      </c>
      <c r="B50" s="15" t="str">
        <f aca="false">'03 Optimization Events'!C50</f>
        <v>bu-datalake</v>
      </c>
      <c r="C50" s="15" t="str">
        <f aca="false">'03 Optimization Events'!D50</f>
        <v>migrate_storage_class</v>
      </c>
      <c r="D50" s="8" t="n">
        <f aca="false">'03 Optimization Events'!I50</f>
        <v>5404.23210157935</v>
      </c>
      <c r="E50" s="25" t="n">
        <v>-0.23309986905485</v>
      </c>
      <c r="F50" s="18" t="n">
        <f aca="false">-(EXP(E50)-1)*D50</f>
        <v>1123.67784641362</v>
      </c>
      <c r="G50" s="25" t="n">
        <v>-0.234968760529707</v>
      </c>
      <c r="H50" s="29" t="n">
        <f aca="false">EXP(-0.501595192597264)-1</f>
        <v>-0.394436102215014</v>
      </c>
      <c r="I50" s="29" t="n">
        <f aca="false">EXP(0.0316576715378505)-1</f>
        <v>0.0321641056682132</v>
      </c>
      <c r="J50" s="25" t="n">
        <v>0.121951219512195</v>
      </c>
      <c r="K50" s="30" t="b">
        <f aca="false">TRUE()</f>
        <v>1</v>
      </c>
      <c r="L50" s="30" t="b">
        <f aca="false">IF('10 Assumptions'!$B$24="Yes",TRUE(),K50)</f>
        <v>1</v>
      </c>
      <c r="M50" s="18" t="n">
        <f aca="false">-(EXP(G50)-1)*D50</f>
        <v>1131.67026695915</v>
      </c>
      <c r="N50" s="18" t="n">
        <f aca="false">IF(L50,M50,0)</f>
        <v>1131.67026695915</v>
      </c>
      <c r="O50" s="31" t="n">
        <v>-0.276412931255327</v>
      </c>
      <c r="P50" s="32" t="n">
        <f aca="false">-(EXP(O50)-1)*D50</f>
        <v>1305.12390148286</v>
      </c>
      <c r="Q50" s="32" t="n">
        <f aca="false">ABS(F50-P50)</f>
        <v>181.446055069241</v>
      </c>
      <c r="R50" s="30" t="b">
        <f aca="false">FALSE()</f>
        <v>0</v>
      </c>
    </row>
    <row r="51" customFormat="false" ht="15" hidden="false" customHeight="false" outlineLevel="0" collapsed="false">
      <c r="A51" s="33" t="str">
        <f aca="false">'03 Optimization Events'!A51</f>
        <v>i-086</v>
      </c>
      <c r="B51" s="33" t="str">
        <f aca="false">'03 Optimization Events'!C51</f>
        <v>bu-datasci</v>
      </c>
      <c r="C51" s="33" t="str">
        <f aca="false">'03 Optimization Events'!D51</f>
        <v>consolidate_cluster</v>
      </c>
      <c r="D51" s="34" t="n">
        <f aca="false">'03 Optimization Events'!I51</f>
        <v>81082.0809539767</v>
      </c>
      <c r="E51" s="27" t="n">
        <v>-0.287218804832945</v>
      </c>
      <c r="F51" s="22" t="n">
        <f aca="false">-(EXP(E51)-1)*D51</f>
        <v>20242.3416849621</v>
      </c>
      <c r="G51" s="27" t="n">
        <v>-0.241505887861625</v>
      </c>
      <c r="H51" s="35" t="n">
        <f aca="false">EXP(-0.502384683673019)-1</f>
        <v>-0.394914000834944</v>
      </c>
      <c r="I51" s="35" t="n">
        <f aca="false">EXP(0.019372907949768)-1</f>
        <v>0.0195617804291173</v>
      </c>
      <c r="J51" s="27" t="n">
        <v>0.146341463414634</v>
      </c>
      <c r="K51" s="36" t="b">
        <f aca="false">TRUE()</f>
        <v>1</v>
      </c>
      <c r="L51" s="36" t="b">
        <f aca="false">IF('10 Assumptions'!$B$24="Yes",TRUE(),K51)</f>
        <v>1</v>
      </c>
      <c r="M51" s="22" t="n">
        <f aca="false">-(EXP(G51)-1)*D51</f>
        <v>17396.6324321664</v>
      </c>
      <c r="N51" s="22" t="n">
        <f aca="false">IF(L51,M51,0)</f>
        <v>17396.6324321664</v>
      </c>
      <c r="O51" s="31" t="n">
        <v>-0.342078042933684</v>
      </c>
      <c r="P51" s="32" t="n">
        <f aca="false">-(EXP(O51)-1)*D51</f>
        <v>23490.0651394985</v>
      </c>
      <c r="Q51" s="32" t="n">
        <f aca="false">ABS(F51-P51)</f>
        <v>3247.72345453638</v>
      </c>
      <c r="R51" s="36" t="b">
        <f aca="false">FALSE()</f>
        <v>0</v>
      </c>
    </row>
    <row r="52" customFormat="false" ht="15" hidden="false" customHeight="false" outlineLevel="0" collapsed="false">
      <c r="A52" s="15" t="str">
        <f aca="false">'03 Optimization Events'!A52</f>
        <v>i-001</v>
      </c>
      <c r="B52" s="15" t="str">
        <f aca="false">'03 Optimization Events'!C52</f>
        <v>bu-assist</v>
      </c>
      <c r="C52" s="15" t="str">
        <f aca="false">'03 Optimization Events'!D52</f>
        <v>rightsize_instance</v>
      </c>
      <c r="D52" s="8" t="n">
        <f aca="false">'03 Optimization Events'!I52</f>
        <v>64023.3325647941</v>
      </c>
      <c r="E52" s="25" t="n">
        <v>-1.17364181055931</v>
      </c>
      <c r="F52" s="18" t="n">
        <f aca="false">-(EXP(E52)-1)*D52</f>
        <v>44224.8404756731</v>
      </c>
      <c r="G52" s="25" t="n">
        <v>-1.13107945219252</v>
      </c>
      <c r="H52" s="29" t="n">
        <f aca="false">EXP(-1.42847988828891)-1</f>
        <v>-0.76032702483052</v>
      </c>
      <c r="I52" s="29" t="n">
        <f aca="false">EXP(-0.833679016096122)-1</f>
        <v>-0.565551998638835</v>
      </c>
      <c r="J52" s="25" t="n">
        <v>0.024390243902439</v>
      </c>
      <c r="K52" s="30" t="b">
        <f aca="false">TRUE()</f>
        <v>1</v>
      </c>
      <c r="L52" s="30" t="b">
        <f aca="false">IF('10 Assumptions'!$B$24="Yes",TRUE(),K52)</f>
        <v>1</v>
      </c>
      <c r="M52" s="18" t="n">
        <f aca="false">-(EXP(G52)-1)*D52</f>
        <v>43363.9797836863</v>
      </c>
      <c r="N52" s="18" t="n">
        <f aca="false">IF(L52,M52,0)</f>
        <v>43363.9797836863</v>
      </c>
      <c r="O52" s="31" t="n">
        <v>-1.21756481210831</v>
      </c>
      <c r="P52" s="32" t="n">
        <f aca="false">-(EXP(O52)-1)*D52</f>
        <v>45075.6283204008</v>
      </c>
      <c r="Q52" s="32" t="n">
        <f aca="false">ABS(F52-P52)</f>
        <v>850.787844727704</v>
      </c>
      <c r="R52" s="30" t="b">
        <f aca="false">FALSE()</f>
        <v>0</v>
      </c>
    </row>
    <row r="53" customFormat="false" ht="15" hidden="false" customHeight="false" outlineLevel="0" collapsed="false">
      <c r="A53" s="33" t="str">
        <f aca="false">'03 Optimization Events'!A53</f>
        <v>i-038</v>
      </c>
      <c r="B53" s="33" t="str">
        <f aca="false">'03 Optimization Events'!C53</f>
        <v>bu-search</v>
      </c>
      <c r="C53" s="33" t="str">
        <f aca="false">'03 Optimization Events'!D53</f>
        <v>rightsize_instance</v>
      </c>
      <c r="D53" s="34" t="n">
        <f aca="false">'03 Optimization Events'!I53</f>
        <v>9391.4792483814</v>
      </c>
      <c r="E53" s="27" t="n">
        <v>-0.669770033367128</v>
      </c>
      <c r="F53" s="22" t="n">
        <f aca="false">-(EXP(E53)-1)*D53</f>
        <v>4584.67348103653</v>
      </c>
      <c r="G53" s="27" t="n">
        <v>-0.776329934449177</v>
      </c>
      <c r="H53" s="35" t="n">
        <f aca="false">EXP(-1.03255505587571)-1</f>
        <v>-0.64390404782883</v>
      </c>
      <c r="I53" s="35" t="n">
        <f aca="false">EXP(-0.520104813022649)-1</f>
        <v>-0.405541762259946</v>
      </c>
      <c r="J53" s="27" t="n">
        <v>0.024390243902439</v>
      </c>
      <c r="K53" s="36" t="b">
        <f aca="false">TRUE()</f>
        <v>1</v>
      </c>
      <c r="L53" s="36" t="b">
        <f aca="false">IF('10 Assumptions'!$B$24="Yes",TRUE(),K53)</f>
        <v>1</v>
      </c>
      <c r="M53" s="22" t="n">
        <f aca="false">-(EXP(G53)-1)*D53</f>
        <v>5070.53963889115</v>
      </c>
      <c r="N53" s="22" t="n">
        <f aca="false">IF(L53,M53,0)</f>
        <v>5070.53963889115</v>
      </c>
      <c r="O53" s="31" t="n">
        <v>-0.739662290645575</v>
      </c>
      <c r="P53" s="32" t="n">
        <f aca="false">-(EXP(O53)-1)*D53</f>
        <v>4909.16034619893</v>
      </c>
      <c r="Q53" s="32" t="n">
        <f aca="false">ABS(F53-P53)</f>
        <v>324.486865162407</v>
      </c>
      <c r="R53" s="36" t="b">
        <f aca="false">FALSE()</f>
        <v>0</v>
      </c>
    </row>
    <row r="54" customFormat="false" ht="15" hidden="false" customHeight="false" outlineLevel="0" collapsed="false">
      <c r="A54" s="15" t="str">
        <f aca="false">'03 Optimization Events'!A54</f>
        <v>i-068</v>
      </c>
      <c r="B54" s="15" t="str">
        <f aca="false">'03 Optimization Events'!C54</f>
        <v>bu-platform</v>
      </c>
      <c r="C54" s="15" t="str">
        <f aca="false">'03 Optimization Events'!D54</f>
        <v>tune_batch_size</v>
      </c>
      <c r="D54" s="8" t="n">
        <f aca="false">'03 Optimization Events'!I54</f>
        <v>6615.12184459881</v>
      </c>
      <c r="E54" s="25" t="n">
        <v>-0.426742618738573</v>
      </c>
      <c r="F54" s="18" t="n">
        <f aca="false">-(EXP(E54)-1)*D54</f>
        <v>2297.88491455021</v>
      </c>
      <c r="G54" s="25" t="n">
        <v>-0.485387251829936</v>
      </c>
      <c r="H54" s="29" t="n">
        <f aca="false">EXP(-0.858545612706266)-1</f>
        <v>-0.576222028364302</v>
      </c>
      <c r="I54" s="29" t="n">
        <f aca="false">EXP(-0.112228890953607)-1</f>
        <v>-0.106160357724129</v>
      </c>
      <c r="J54" s="25" t="n">
        <v>0.0487804878048781</v>
      </c>
      <c r="K54" s="30" t="b">
        <f aca="false">TRUE()</f>
        <v>1</v>
      </c>
      <c r="L54" s="30" t="b">
        <f aca="false">IF('10 Assumptions'!$B$24="Yes",TRUE(),K54)</f>
        <v>1</v>
      </c>
      <c r="M54" s="18" t="n">
        <f aca="false">-(EXP(G54)-1)*D54</f>
        <v>2543.78680588537</v>
      </c>
      <c r="N54" s="18" t="n">
        <f aca="false">IF(L54,M54,0)</f>
        <v>2543.78680588537</v>
      </c>
      <c r="O54" s="31" t="n">
        <v>-0.545054076716136</v>
      </c>
      <c r="P54" s="32" t="n">
        <f aca="false">-(EXP(O54)-1)*D54</f>
        <v>2779.60521496846</v>
      </c>
      <c r="Q54" s="32" t="n">
        <f aca="false">ABS(F54-P54)</f>
        <v>481.720300418248</v>
      </c>
      <c r="R54" s="30" t="b">
        <f aca="false">FALSE()</f>
        <v>0</v>
      </c>
    </row>
    <row r="55" customFormat="false" ht="15" hidden="false" customHeight="false" outlineLevel="0" collapsed="false">
      <c r="A55" s="33" t="str">
        <f aca="false">'03 Optimization Events'!A55</f>
        <v>i-102</v>
      </c>
      <c r="B55" s="33" t="str">
        <f aca="false">'03 Optimization Events'!C55</f>
        <v>bu-assist</v>
      </c>
      <c r="C55" s="33" t="str">
        <f aca="false">'03 Optimization Events'!D55</f>
        <v>rightsize_instance</v>
      </c>
      <c r="D55" s="34" t="n">
        <f aca="false">'03 Optimization Events'!I55</f>
        <v>21771.2060613438</v>
      </c>
      <c r="E55" s="27" t="n">
        <v>0.3335301703182</v>
      </c>
      <c r="F55" s="22" t="n">
        <f aca="false">-(EXP(E55)-1)*D55</f>
        <v>-8618.94094319181</v>
      </c>
      <c r="G55" s="27" t="n">
        <v>0.329073642401563</v>
      </c>
      <c r="H55" s="35" t="n">
        <f aca="false">EXP(-0.0465808124256294)-1</f>
        <v>-0.0455125769907105</v>
      </c>
      <c r="I55" s="35" t="n">
        <f aca="false">EXP(0.704728097228755)-1</f>
        <v>1.02329647020599</v>
      </c>
      <c r="J55" s="27" t="n">
        <v>0.121951219512195</v>
      </c>
      <c r="K55" s="36" t="b">
        <f aca="false">TRUE()</f>
        <v>1</v>
      </c>
      <c r="L55" s="36" t="b">
        <f aca="false">IF('10 Assumptions'!$B$24="Yes",TRUE(),K55)</f>
        <v>1</v>
      </c>
      <c r="M55" s="22" t="n">
        <f aca="false">-(EXP(G55)-1)*D55</f>
        <v>-8483.8077407725</v>
      </c>
      <c r="N55" s="22" t="n">
        <f aca="false">IF(L55,M55,0)</f>
        <v>-8483.8077407725</v>
      </c>
      <c r="O55" s="31" t="n">
        <v>0</v>
      </c>
      <c r="P55" s="32" t="n">
        <f aca="false">-(EXP(O55)-1)*D55</f>
        <v>-0</v>
      </c>
      <c r="Q55" s="32" t="n">
        <f aca="false">ABS(F55-P55)</f>
        <v>8618.94094319181</v>
      </c>
      <c r="R55" s="36" t="b">
        <f aca="false">TRUE()</f>
        <v>1</v>
      </c>
    </row>
    <row r="56" customFormat="false" ht="15" hidden="false" customHeight="false" outlineLevel="0" collapsed="false">
      <c r="A56" s="15" t="str">
        <f aca="false">'03 Optimization Events'!A56</f>
        <v>i-000</v>
      </c>
      <c r="B56" s="15" t="str">
        <f aca="false">'03 Optimization Events'!C56</f>
        <v>bu-assist</v>
      </c>
      <c r="C56" s="15" t="str">
        <f aca="false">'03 Optimization Events'!D56</f>
        <v>rightsize_instance</v>
      </c>
      <c r="D56" s="8" t="n">
        <f aca="false">'03 Optimization Events'!I56</f>
        <v>13571.0434207613</v>
      </c>
      <c r="E56" s="25" t="n">
        <v>-1.02211307875825</v>
      </c>
      <c r="F56" s="18" t="n">
        <f aca="false">-(EXP(E56)-1)*D56</f>
        <v>8687.72357973484</v>
      </c>
      <c r="G56" s="25" t="n">
        <v>-0.973754791883254</v>
      </c>
      <c r="H56" s="29" t="n">
        <f aca="false">EXP(-1.46170271523512)-1</f>
        <v>-0.768158821050112</v>
      </c>
      <c r="I56" s="29" t="n">
        <f aca="false">EXP(-0.485806868531391)-1</f>
        <v>-0.384799389561768</v>
      </c>
      <c r="J56" s="25" t="n">
        <v>0.024390243902439</v>
      </c>
      <c r="K56" s="30" t="b">
        <f aca="false">TRUE()</f>
        <v>1</v>
      </c>
      <c r="L56" s="30" t="b">
        <f aca="false">IF('10 Assumptions'!$B$24="Yes",TRUE(),K56)</f>
        <v>1</v>
      </c>
      <c r="M56" s="18" t="n">
        <f aca="false">-(EXP(G56)-1)*D56</f>
        <v>8445.77155427698</v>
      </c>
      <c r="N56" s="18" t="n">
        <f aca="false">IF(L56,M56,0)</f>
        <v>8445.77155427698</v>
      </c>
      <c r="O56" s="31" t="n">
        <v>-1.23880980643579</v>
      </c>
      <c r="P56" s="32" t="n">
        <f aca="false">-(EXP(O56)-1)*D56</f>
        <v>9639.12066847176</v>
      </c>
      <c r="Q56" s="32" t="n">
        <f aca="false">ABS(F56-P56)</f>
        <v>951.397088736925</v>
      </c>
      <c r="R56" s="30" t="b">
        <f aca="false">FALSE()</f>
        <v>0</v>
      </c>
    </row>
    <row r="57" customFormat="false" ht="15" hidden="false" customHeight="false" outlineLevel="0" collapsed="false">
      <c r="A57" s="33" t="str">
        <f aca="false">'03 Optimization Events'!A57</f>
        <v>i-041</v>
      </c>
      <c r="B57" s="33" t="str">
        <f aca="false">'03 Optimization Events'!C57</f>
        <v>bu-platform</v>
      </c>
      <c r="C57" s="33" t="str">
        <f aca="false">'03 Optimization Events'!D57</f>
        <v>migrate_storage_class</v>
      </c>
      <c r="D57" s="34" t="n">
        <f aca="false">'03 Optimization Events'!I57</f>
        <v>19871.2887350295</v>
      </c>
      <c r="E57" s="27" t="n">
        <v>-0.793867246682359</v>
      </c>
      <c r="F57" s="22" t="n">
        <f aca="false">-(EXP(E57)-1)*D57</f>
        <v>10887.6171061533</v>
      </c>
      <c r="G57" s="27" t="n">
        <v>-0.897911086034709</v>
      </c>
      <c r="H57" s="35" t="n">
        <f aca="false">EXP(-1.24770685334551)-1</f>
        <v>-0.712837451751429</v>
      </c>
      <c r="I57" s="35" t="n">
        <f aca="false">EXP(-0.548115318723912)-1</f>
        <v>-0.421961797800972</v>
      </c>
      <c r="J57" s="27" t="n">
        <v>0.024390243902439</v>
      </c>
      <c r="K57" s="36" t="b">
        <f aca="false">TRUE()</f>
        <v>1</v>
      </c>
      <c r="L57" s="36" t="b">
        <f aca="false">IF('10 Assumptions'!$B$24="Yes",TRUE(),K57)</f>
        <v>1</v>
      </c>
      <c r="M57" s="22" t="n">
        <f aca="false">-(EXP(G57)-1)*D57</f>
        <v>11775.3315286616</v>
      </c>
      <c r="N57" s="22" t="n">
        <f aca="false">IF(L57,M57,0)</f>
        <v>11775.3315286616</v>
      </c>
      <c r="O57" s="31" t="n">
        <v>-0.773281924334125</v>
      </c>
      <c r="P57" s="32" t="n">
        <f aca="false">-(EXP(O57)-1)*D57</f>
        <v>10700.768761218</v>
      </c>
      <c r="Q57" s="32" t="n">
        <f aca="false">ABS(F57-P57)</f>
        <v>186.848344935304</v>
      </c>
      <c r="R57" s="36" t="b">
        <f aca="false">FALSE()</f>
        <v>0</v>
      </c>
    </row>
    <row r="58" customFormat="false" ht="15" hidden="false" customHeight="false" outlineLevel="0" collapsed="false">
      <c r="A58" s="15" t="str">
        <f aca="false">'03 Optimization Events'!A58</f>
        <v>i-110</v>
      </c>
      <c r="B58" s="15" t="str">
        <f aca="false">'03 Optimization Events'!C58</f>
        <v>bu-platform</v>
      </c>
      <c r="C58" s="15" t="str">
        <f aca="false">'03 Optimization Events'!D58</f>
        <v>schedule_shutdown</v>
      </c>
      <c r="D58" s="8" t="n">
        <f aca="false">'03 Optimization Events'!I58</f>
        <v>14453.3067363729</v>
      </c>
      <c r="E58" s="25" t="n">
        <v>0.296405237555708</v>
      </c>
      <c r="F58" s="18" t="n">
        <f aca="false">-(EXP(E58)-1)*D58</f>
        <v>-4986.60902619556</v>
      </c>
      <c r="G58" s="25" t="n">
        <v>0.167489237548836</v>
      </c>
      <c r="H58" s="29" t="n">
        <f aca="false">EXP(-0.330982751053229)-1</f>
        <v>-0.281782442569855</v>
      </c>
      <c r="I58" s="29" t="n">
        <f aca="false">EXP(0.6659612261509)-1</f>
        <v>0.946360515075576</v>
      </c>
      <c r="J58" s="25" t="n">
        <v>0.634146341463415</v>
      </c>
      <c r="K58" s="30" t="b">
        <f aca="false">TRUE()</f>
        <v>1</v>
      </c>
      <c r="L58" s="30" t="b">
        <f aca="false">IF('10 Assumptions'!$B$24="Yes",TRUE(),K58)</f>
        <v>1</v>
      </c>
      <c r="M58" s="18" t="n">
        <f aca="false">-(EXP(G58)-1)*D58</f>
        <v>-2635.30849459902</v>
      </c>
      <c r="N58" s="18" t="n">
        <f aca="false">IF(L58,M58,0)</f>
        <v>-2635.30849459902</v>
      </c>
      <c r="O58" s="31" t="n">
        <v>0</v>
      </c>
      <c r="P58" s="32" t="n">
        <f aca="false">-(EXP(O58)-1)*D58</f>
        <v>-0</v>
      </c>
      <c r="Q58" s="32" t="n">
        <f aca="false">ABS(F58-P58)</f>
        <v>4986.60902619556</v>
      </c>
      <c r="R58" s="30" t="b">
        <f aca="false">TRUE()</f>
        <v>1</v>
      </c>
    </row>
    <row r="59" customFormat="false" ht="15" hidden="false" customHeight="false" outlineLevel="0" collapsed="false">
      <c r="A59" s="33" t="str">
        <f aca="false">'03 Optimization Events'!A59</f>
        <v>i-109</v>
      </c>
      <c r="B59" s="33" t="str">
        <f aca="false">'03 Optimization Events'!C59</f>
        <v>bu-platform</v>
      </c>
      <c r="C59" s="33" t="str">
        <f aca="false">'03 Optimization Events'!D59</f>
        <v>delete_orphaned_volume</v>
      </c>
      <c r="D59" s="34" t="n">
        <f aca="false">'03 Optimization Events'!I59</f>
        <v>7578.69897250161</v>
      </c>
      <c r="E59" s="27" t="n">
        <v>0.195805068081414</v>
      </c>
      <c r="F59" s="22" t="n">
        <f aca="false">-(EXP(E59)-1)*D59</f>
        <v>-1639.19519803591</v>
      </c>
      <c r="G59" s="27" t="n">
        <v>0.0908693131940952</v>
      </c>
      <c r="H59" s="35" t="n">
        <f aca="false">EXP(-0.158529532940896)-1</f>
        <v>-0.146602239926843</v>
      </c>
      <c r="I59" s="35" t="n">
        <f aca="false">EXP(0.340268159329087)-1</f>
        <v>0.405324390885884</v>
      </c>
      <c r="J59" s="27" t="n">
        <v>0.390243902439024</v>
      </c>
      <c r="K59" s="36" t="b">
        <f aca="false">FALSE()</f>
        <v>0</v>
      </c>
      <c r="L59" s="36" t="b">
        <f aca="false">IF('10 Assumptions'!$B$24="Yes",TRUE(),K59)</f>
        <v>0</v>
      </c>
      <c r="M59" s="22" t="n">
        <f aca="false">-(EXP(G59)-1)*D59</f>
        <v>-720.930389334146</v>
      </c>
      <c r="N59" s="22" t="n">
        <f aca="false">IF(L59,M59,0)</f>
        <v>0</v>
      </c>
      <c r="O59" s="31" t="n">
        <v>0</v>
      </c>
      <c r="P59" s="32" t="n">
        <f aca="false">-(EXP(O59)-1)*D59</f>
        <v>-0</v>
      </c>
      <c r="Q59" s="32" t="n">
        <f aca="false">ABS(F59-P59)</f>
        <v>1639.19519803591</v>
      </c>
      <c r="R59" s="36" t="b">
        <f aca="false">TRUE()</f>
        <v>1</v>
      </c>
    </row>
    <row r="60" customFormat="false" ht="15" hidden="false" customHeight="false" outlineLevel="0" collapsed="false">
      <c r="A60" s="15" t="str">
        <f aca="false">'03 Optimization Events'!A60</f>
        <v>i-051</v>
      </c>
      <c r="B60" s="15" t="str">
        <f aca="false">'03 Optimization Events'!C60</f>
        <v>bu-checkout</v>
      </c>
      <c r="C60" s="15" t="str">
        <f aca="false">'03 Optimization Events'!D60</f>
        <v>delete_orphaned_volume</v>
      </c>
      <c r="D60" s="8" t="n">
        <f aca="false">'03 Optimization Events'!I60</f>
        <v>3338.56366647871</v>
      </c>
      <c r="E60" s="25" t="n">
        <v>-0.730169603957139</v>
      </c>
      <c r="F60" s="18" t="n">
        <f aca="false">-(EXP(E60)-1)*D60</f>
        <v>1729.95267154191</v>
      </c>
      <c r="G60" s="25" t="n">
        <v>-0.904067784458916</v>
      </c>
      <c r="H60" s="29" t="n">
        <f aca="false">EXP(-1.19884562528151)-1</f>
        <v>-0.698457896344126</v>
      </c>
      <c r="I60" s="29" t="n">
        <f aca="false">EXP(-0.609289943636327)-1</f>
        <v>-0.45626318417745</v>
      </c>
      <c r="J60" s="25" t="n">
        <v>0.024390243902439</v>
      </c>
      <c r="K60" s="30" t="b">
        <f aca="false">TRUE()</f>
        <v>1</v>
      </c>
      <c r="L60" s="30" t="b">
        <f aca="false">IF('10 Assumptions'!$B$24="Yes",TRUE(),K60)</f>
        <v>1</v>
      </c>
      <c r="M60" s="18" t="n">
        <f aca="false">-(EXP(G60)-1)*D60</f>
        <v>1986.71520036879</v>
      </c>
      <c r="N60" s="18" t="n">
        <f aca="false">IF(L60,M60,0)</f>
        <v>1986.71520036879</v>
      </c>
      <c r="O60" s="31" t="n">
        <v>-0.923631216775038</v>
      </c>
      <c r="P60" s="32" t="n">
        <f aca="false">-(EXP(O60)-1)*D60</f>
        <v>2012.9049800548</v>
      </c>
      <c r="Q60" s="32" t="n">
        <f aca="false">ABS(F60-P60)</f>
        <v>282.952308512895</v>
      </c>
      <c r="R60" s="30" t="b">
        <f aca="false">FALSE()</f>
        <v>0</v>
      </c>
    </row>
    <row r="61" customFormat="false" ht="15" hidden="false" customHeight="false" outlineLevel="0" collapsed="false">
      <c r="A61" s="33" t="str">
        <f aca="false">'03 Optimization Events'!A61</f>
        <v>i-058</v>
      </c>
      <c r="B61" s="33" t="str">
        <f aca="false">'03 Optimization Events'!C61</f>
        <v>bu-platform</v>
      </c>
      <c r="C61" s="33" t="str">
        <f aca="false">'03 Optimization Events'!D61</f>
        <v>cache_inference_results</v>
      </c>
      <c r="D61" s="34" t="n">
        <f aca="false">'03 Optimization Events'!I61</f>
        <v>8167.52977424121</v>
      </c>
      <c r="E61" s="27" t="n">
        <v>-0.392799967690991</v>
      </c>
      <c r="F61" s="22" t="n">
        <f aca="false">-(EXP(E61)-1)*D61</f>
        <v>2653.10942794468</v>
      </c>
      <c r="G61" s="27" t="n">
        <v>-0.460531574532061</v>
      </c>
      <c r="H61" s="35" t="n">
        <f aca="false">EXP(-0.843954879068432)-1</f>
        <v>-0.569993467723162</v>
      </c>
      <c r="I61" s="35" t="n">
        <f aca="false">EXP(-0.0771082699956896)-1</f>
        <v>-0.0742103870573376</v>
      </c>
      <c r="J61" s="27" t="n">
        <v>0.0487804878048781</v>
      </c>
      <c r="K61" s="36" t="b">
        <f aca="false">TRUE()</f>
        <v>1</v>
      </c>
      <c r="L61" s="36" t="b">
        <f aca="false">IF('10 Assumptions'!$B$24="Yes",TRUE(),K61)</f>
        <v>1</v>
      </c>
      <c r="M61" s="22" t="n">
        <f aca="false">-(EXP(G61)-1)*D61</f>
        <v>3014.24188838348</v>
      </c>
      <c r="N61" s="22" t="n">
        <f aca="false">IF(L61,M61,0)</f>
        <v>3014.24188838348</v>
      </c>
      <c r="O61" s="31" t="n">
        <v>-0.712896381819093</v>
      </c>
      <c r="P61" s="32" t="n">
        <f aca="false">-(EXP(O61)-1)*D61</f>
        <v>4163.62480137549</v>
      </c>
      <c r="Q61" s="32" t="n">
        <f aca="false">ABS(F61-P61)</f>
        <v>1510.51537343081</v>
      </c>
      <c r="R61" s="36" t="b">
        <f aca="false">FALSE()</f>
        <v>0</v>
      </c>
    </row>
    <row r="62" customFormat="false" ht="15" hidden="false" customHeight="false" outlineLevel="0" collapsed="false">
      <c r="A62" s="15" t="str">
        <f aca="false">'03 Optimization Events'!A62</f>
        <v>i-057</v>
      </c>
      <c r="B62" s="15" t="str">
        <f aca="false">'03 Optimization Events'!C62</f>
        <v>bu-checkout</v>
      </c>
      <c r="C62" s="15" t="str">
        <f aca="false">'03 Optimization Events'!D62</f>
        <v>schedule_shutdown</v>
      </c>
      <c r="D62" s="8" t="n">
        <f aca="false">'03 Optimization Events'!I62</f>
        <v>68304.0920269606</v>
      </c>
      <c r="E62" s="25" t="n">
        <v>-0.414810044698887</v>
      </c>
      <c r="F62" s="18" t="n">
        <f aca="false">-(EXP(E62)-1)*D62</f>
        <v>23191.5801776524</v>
      </c>
      <c r="G62" s="25" t="n">
        <v>-0.647687382572905</v>
      </c>
      <c r="H62" s="29" t="n">
        <f aca="false">EXP(-0.941559305355121)-1</f>
        <v>-0.609980798071009</v>
      </c>
      <c r="I62" s="29" t="n">
        <f aca="false">EXP(-0.35381545979069)-1</f>
        <v>-0.297995496539278</v>
      </c>
      <c r="J62" s="25" t="n">
        <v>0.0487804878048781</v>
      </c>
      <c r="K62" s="30" t="b">
        <f aca="false">TRUE()</f>
        <v>1</v>
      </c>
      <c r="L62" s="30" t="b">
        <f aca="false">IF('10 Assumptions'!$B$24="Yes",TRUE(),K62)</f>
        <v>1</v>
      </c>
      <c r="M62" s="18" t="n">
        <f aca="false">-(EXP(G62)-1)*D62</f>
        <v>32563.6708276895</v>
      </c>
      <c r="N62" s="18" t="n">
        <f aca="false">IF(L62,M62,0)</f>
        <v>32563.6708276895</v>
      </c>
      <c r="O62" s="31" t="n">
        <v>-0.709956250579386</v>
      </c>
      <c r="P62" s="32" t="n">
        <f aca="false">-(EXP(O62)-1)*D62</f>
        <v>34721.3123240495</v>
      </c>
      <c r="Q62" s="32" t="n">
        <f aca="false">ABS(F62-P62)</f>
        <v>11529.7321463971</v>
      </c>
      <c r="R62" s="30" t="b">
        <f aca="false">FALSE()</f>
        <v>0</v>
      </c>
    </row>
    <row r="63" customFormat="false" ht="15" hidden="false" customHeight="false" outlineLevel="0" collapsed="false">
      <c r="A63" s="33" t="str">
        <f aca="false">'03 Optimization Events'!A63</f>
        <v>i-081</v>
      </c>
      <c r="B63" s="33" t="str">
        <f aca="false">'03 Optimization Events'!C63</f>
        <v>bu-assist</v>
      </c>
      <c r="C63" s="33" t="str">
        <f aca="false">'03 Optimization Events'!D63</f>
        <v>enable_autoscaling</v>
      </c>
      <c r="D63" s="34" t="n">
        <f aca="false">'03 Optimization Events'!I63</f>
        <v>1199.35104027522</v>
      </c>
      <c r="E63" s="27" t="n">
        <v>-0.369802630076303</v>
      </c>
      <c r="F63" s="22" t="n">
        <f aca="false">-(EXP(E63)-1)*D63</f>
        <v>370.754578388921</v>
      </c>
      <c r="G63" s="27" t="n">
        <v>-0.268949838059017</v>
      </c>
      <c r="H63" s="35" t="n">
        <f aca="false">EXP(-0.739259326127711)-1</f>
        <v>-0.522532567763498</v>
      </c>
      <c r="I63" s="35" t="n">
        <f aca="false">EXP(0.201359650009677)-1</f>
        <v>0.223064567915939</v>
      </c>
      <c r="J63" s="27" t="n">
        <v>0.146341463414634</v>
      </c>
      <c r="K63" s="36" t="b">
        <f aca="false">TRUE()</f>
        <v>1</v>
      </c>
      <c r="L63" s="36" t="b">
        <f aca="false">IF('10 Assumptions'!$B$24="Yes",TRUE(),K63)</f>
        <v>1</v>
      </c>
      <c r="M63" s="22" t="n">
        <f aca="false">-(EXP(G63)-1)*D63</f>
        <v>282.829058325757</v>
      </c>
      <c r="N63" s="22" t="n">
        <f aca="false">IF(L63,M63,0)</f>
        <v>282.829058325757</v>
      </c>
      <c r="O63" s="31" t="n">
        <v>-0.442305520708378</v>
      </c>
      <c r="P63" s="32" t="n">
        <f aca="false">-(EXP(O63)-1)*D63</f>
        <v>428.704080930913</v>
      </c>
      <c r="Q63" s="32" t="n">
        <f aca="false">ABS(F63-P63)</f>
        <v>57.9495025419923</v>
      </c>
      <c r="R63" s="36" t="b">
        <f aca="false">FALSE()</f>
        <v>0</v>
      </c>
    </row>
    <row r="64" customFormat="false" ht="15" hidden="false" customHeight="false" outlineLevel="0" collapsed="false">
      <c r="A64" s="15" t="str">
        <f aca="false">'03 Optimization Events'!A64</f>
        <v>i-004</v>
      </c>
      <c r="B64" s="15" t="str">
        <f aca="false">'03 Optimization Events'!C64</f>
        <v>bu-search</v>
      </c>
      <c r="C64" s="15" t="str">
        <f aca="false">'03 Optimization Events'!D64</f>
        <v>rightsize_instance</v>
      </c>
      <c r="D64" s="8" t="n">
        <f aca="false">'03 Optimization Events'!I64</f>
        <v>2078.1554366451</v>
      </c>
      <c r="E64" s="25" t="n">
        <v>-0.904974129138905</v>
      </c>
      <c r="F64" s="18" t="n">
        <f aca="false">-(EXP(E64)-1)*D64</f>
        <v>1237.43276882959</v>
      </c>
      <c r="G64" s="25" t="n">
        <v>-1.07759836509244</v>
      </c>
      <c r="H64" s="29" t="n">
        <f aca="false">EXP(-1.34063162637675)-1</f>
        <v>-0.738319667829671</v>
      </c>
      <c r="I64" s="29" t="n">
        <f aca="false">EXP(-0.81456510380813)-1</f>
        <v>-0.557168128615511</v>
      </c>
      <c r="J64" s="25" t="n">
        <v>0.024390243902439</v>
      </c>
      <c r="K64" s="30" t="b">
        <f aca="false">TRUE()</f>
        <v>1</v>
      </c>
      <c r="L64" s="30" t="b">
        <f aca="false">IF('10 Assumptions'!$B$24="Yes",TRUE(),K64)</f>
        <v>1</v>
      </c>
      <c r="M64" s="18" t="n">
        <f aca="false">-(EXP(G64)-1)*D64</f>
        <v>1370.72620055838</v>
      </c>
      <c r="N64" s="18" t="n">
        <f aca="false">IF(L64,M64,0)</f>
        <v>1370.72620055838</v>
      </c>
      <c r="O64" s="31" t="n">
        <v>-1.19421611231525</v>
      </c>
      <c r="P64" s="32" t="n">
        <f aca="false">-(EXP(O64)-1)*D64</f>
        <v>1448.59625825595</v>
      </c>
      <c r="Q64" s="32" t="n">
        <f aca="false">ABS(F64-P64)</f>
        <v>211.163489426361</v>
      </c>
      <c r="R64" s="30" t="b">
        <f aca="false">FALSE()</f>
        <v>0</v>
      </c>
    </row>
    <row r="65" customFormat="false" ht="15" hidden="false" customHeight="false" outlineLevel="0" collapsed="false">
      <c r="A65" s="33" t="str">
        <f aca="false">'03 Optimization Events'!A65</f>
        <v>i-092</v>
      </c>
      <c r="B65" s="33" t="str">
        <f aca="false">'03 Optimization Events'!C65</f>
        <v>bu-search</v>
      </c>
      <c r="C65" s="33" t="str">
        <f aca="false">'03 Optimization Events'!D65</f>
        <v>delete_orphaned_volume</v>
      </c>
      <c r="D65" s="34" t="n">
        <f aca="false">'03 Optimization Events'!I65</f>
        <v>1239.72327847</v>
      </c>
      <c r="E65" s="27" t="n">
        <v>0.549962899641105</v>
      </c>
      <c r="F65" s="22" t="n">
        <f aca="false">-(EXP(E65)-1)*D65</f>
        <v>-908.951117188586</v>
      </c>
      <c r="G65" s="27" t="n">
        <v>0.320621970615239</v>
      </c>
      <c r="H65" s="35" t="n">
        <f aca="false">EXP(-0.0380809481459518)-1</f>
        <v>-0.037364985782397</v>
      </c>
      <c r="I65" s="35" t="n">
        <f aca="false">EXP(0.679324889376429)-1</f>
        <v>0.972545596124004</v>
      </c>
      <c r="J65" s="27" t="n">
        <v>0.121951219512195</v>
      </c>
      <c r="K65" s="36" t="b">
        <f aca="false">FALSE()</f>
        <v>0</v>
      </c>
      <c r="L65" s="36" t="b">
        <f aca="false">IF('10 Assumptions'!$B$24="Yes",TRUE(),K65)</f>
        <v>0</v>
      </c>
      <c r="M65" s="22" t="n">
        <f aca="false">-(EXP(G65)-1)*D65</f>
        <v>-468.596262599587</v>
      </c>
      <c r="N65" s="22" t="n">
        <f aca="false">IF(L65,M65,0)</f>
        <v>0</v>
      </c>
      <c r="O65" s="31" t="n">
        <v>0</v>
      </c>
      <c r="P65" s="32" t="n">
        <f aca="false">-(EXP(O65)-1)*D65</f>
        <v>-0</v>
      </c>
      <c r="Q65" s="32" t="n">
        <f aca="false">ABS(F65-P65)</f>
        <v>908.951117188586</v>
      </c>
      <c r="R65" s="36" t="b">
        <f aca="false">TRUE()</f>
        <v>1</v>
      </c>
    </row>
    <row r="66" customFormat="false" ht="15" hidden="false" customHeight="false" outlineLevel="0" collapsed="false">
      <c r="A66" s="15" t="str">
        <f aca="false">'03 Optimization Events'!A66</f>
        <v>i-100</v>
      </c>
      <c r="B66" s="15" t="str">
        <f aca="false">'03 Optimization Events'!C66</f>
        <v>bu-checkout</v>
      </c>
      <c r="C66" s="15" t="str">
        <f aca="false">'03 Optimization Events'!D66</f>
        <v>delete_orphaned_volume</v>
      </c>
      <c r="D66" s="8" t="n">
        <f aca="false">'03 Optimization Events'!I66</f>
        <v>16317.346994486</v>
      </c>
      <c r="E66" s="25" t="n">
        <v>0.364713820732842</v>
      </c>
      <c r="F66" s="18" t="n">
        <f aca="false">-(EXP(E66)-1)*D66</f>
        <v>-7181.29414065898</v>
      </c>
      <c r="G66" s="25" t="n">
        <v>0.163500541481212</v>
      </c>
      <c r="H66" s="29" t="n">
        <f aca="false">EXP(-0.100417837951523)-1</f>
        <v>-0.095540578401126</v>
      </c>
      <c r="I66" s="29" t="n">
        <f aca="false">EXP(0.427418920913947)-1</f>
        <v>0.533294856482847</v>
      </c>
      <c r="J66" s="25" t="n">
        <v>0.170731707317073</v>
      </c>
      <c r="K66" s="30" t="b">
        <f aca="false">TRUE()</f>
        <v>1</v>
      </c>
      <c r="L66" s="30" t="b">
        <f aca="false">IF('10 Assumptions'!$B$24="Yes",TRUE(),K66)</f>
        <v>1</v>
      </c>
      <c r="M66" s="18" t="n">
        <f aca="false">-(EXP(G66)-1)*D66</f>
        <v>-2898.38496056701</v>
      </c>
      <c r="N66" s="18" t="n">
        <f aca="false">IF(L66,M66,0)</f>
        <v>-2898.38496056701</v>
      </c>
      <c r="O66" s="31" t="n">
        <v>0</v>
      </c>
      <c r="P66" s="32" t="n">
        <f aca="false">-(EXP(O66)-1)*D66</f>
        <v>-0</v>
      </c>
      <c r="Q66" s="32" t="n">
        <f aca="false">ABS(F66-P66)</f>
        <v>7181.29414065898</v>
      </c>
      <c r="R66" s="30" t="b">
        <f aca="false">TRUE()</f>
        <v>1</v>
      </c>
    </row>
    <row r="67" customFormat="false" ht="15" hidden="false" customHeight="false" outlineLevel="0" collapsed="false">
      <c r="A67" s="33" t="str">
        <f aca="false">'03 Optimization Events'!A67</f>
        <v>i-113</v>
      </c>
      <c r="B67" s="33" t="str">
        <f aca="false">'03 Optimization Events'!C67</f>
        <v>bu-platform</v>
      </c>
      <c r="C67" s="33" t="str">
        <f aca="false">'03 Optimization Events'!D67</f>
        <v>cache_inference_results</v>
      </c>
      <c r="D67" s="34" t="n">
        <f aca="false">'03 Optimization Events'!I67</f>
        <v>3686.25023574841</v>
      </c>
      <c r="E67" s="27" t="n">
        <v>0.109065423620404</v>
      </c>
      <c r="F67" s="22" t="n">
        <f aca="false">-(EXP(E67)-1)*D67</f>
        <v>-424.786191184227</v>
      </c>
      <c r="G67" s="27" t="n">
        <v>0.0703915846957049</v>
      </c>
      <c r="H67" s="35" t="n">
        <f aca="false">EXP(-0.292301254843609)-1</f>
        <v>-0.253456397782267</v>
      </c>
      <c r="I67" s="35" t="n">
        <f aca="false">EXP(0.433084424235019)-1</f>
        <v>0.542006397916038</v>
      </c>
      <c r="J67" s="27" t="n">
        <v>0.780487804878049</v>
      </c>
      <c r="K67" s="36" t="b">
        <f aca="false">TRUE()</f>
        <v>1</v>
      </c>
      <c r="L67" s="36" t="b">
        <f aca="false">IF('10 Assumptions'!$B$24="Yes",TRUE(),K67)</f>
        <v>1</v>
      </c>
      <c r="M67" s="22" t="n">
        <f aca="false">-(EXP(G67)-1)*D67</f>
        <v>-268.83174662286</v>
      </c>
      <c r="N67" s="22" t="n">
        <f aca="false">IF(L67,M67,0)</f>
        <v>-268.83174662286</v>
      </c>
      <c r="O67" s="31" t="n">
        <v>0</v>
      </c>
      <c r="P67" s="32" t="n">
        <f aca="false">-(EXP(O67)-1)*D67</f>
        <v>-0</v>
      </c>
      <c r="Q67" s="32" t="n">
        <f aca="false">ABS(F67-P67)</f>
        <v>424.786191184227</v>
      </c>
      <c r="R67" s="36" t="b">
        <f aca="false">TRUE()</f>
        <v>1</v>
      </c>
    </row>
    <row r="68" customFormat="false" ht="15" hidden="false" customHeight="false" outlineLevel="0" collapsed="false">
      <c r="A68" s="15" t="str">
        <f aca="false">'03 Optimization Events'!A68</f>
        <v>i-017</v>
      </c>
      <c r="B68" s="15" t="str">
        <f aca="false">'03 Optimization Events'!C68</f>
        <v>bu-checkout</v>
      </c>
      <c r="C68" s="15" t="str">
        <f aca="false">'03 Optimization Events'!D68</f>
        <v>cache_inference_results</v>
      </c>
      <c r="D68" s="8" t="n">
        <f aca="false">'03 Optimization Events'!I68</f>
        <v>5788.10733589016</v>
      </c>
      <c r="E68" s="25" t="n">
        <v>-1.03191958759947</v>
      </c>
      <c r="F68" s="18" t="n">
        <f aca="false">-(EXP(E68)-1)*D68</f>
        <v>3725.67554921241</v>
      </c>
      <c r="G68" s="25" t="n">
        <v>-1.13319008595536</v>
      </c>
      <c r="H68" s="29" t="n">
        <f aca="false">EXP(-1.32853414654805)-1</f>
        <v>-0.735134769510219</v>
      </c>
      <c r="I68" s="29" t="n">
        <f aca="false">EXP(-0.937846025362662)-1</f>
        <v>-0.60852985536073</v>
      </c>
      <c r="J68" s="25" t="n">
        <v>0.024390243902439</v>
      </c>
      <c r="K68" s="30" t="b">
        <f aca="false">TRUE()</f>
        <v>1</v>
      </c>
      <c r="L68" s="30" t="b">
        <f aca="false">IF('10 Assumptions'!$B$24="Yes",TRUE(),K68)</f>
        <v>1</v>
      </c>
      <c r="M68" s="18" t="n">
        <f aca="false">-(EXP(G68)-1)*D68</f>
        <v>3924.31133778406</v>
      </c>
      <c r="N68" s="18" t="n">
        <f aca="false">IF(L68,M68,0)</f>
        <v>3924.31133778406</v>
      </c>
      <c r="O68" s="31" t="n">
        <v>-0.987145629100083</v>
      </c>
      <c r="P68" s="32" t="n">
        <f aca="false">-(EXP(O68)-1)*D68</f>
        <v>3631.23382589539</v>
      </c>
      <c r="Q68" s="32" t="n">
        <f aca="false">ABS(F68-P68)</f>
        <v>94.441723317027</v>
      </c>
      <c r="R68" s="30" t="b">
        <f aca="false">FALSE()</f>
        <v>0</v>
      </c>
    </row>
    <row r="69" customFormat="false" ht="15" hidden="false" customHeight="false" outlineLevel="0" collapsed="false">
      <c r="A69" s="33" t="str">
        <f aca="false">'03 Optimization Events'!A69</f>
        <v>i-112</v>
      </c>
      <c r="B69" s="33" t="str">
        <f aca="false">'03 Optimization Events'!C69</f>
        <v>bu-checkout</v>
      </c>
      <c r="C69" s="33" t="str">
        <f aca="false">'03 Optimization Events'!D69</f>
        <v>consolidate_cluster</v>
      </c>
      <c r="D69" s="34" t="n">
        <f aca="false">'03 Optimization Events'!I69</f>
        <v>15554.5516122687</v>
      </c>
      <c r="E69" s="27" t="n">
        <v>0.308029535168451</v>
      </c>
      <c r="F69" s="22" t="n">
        <f aca="false">-(EXP(E69)-1)*D69</f>
        <v>-5611.1672728603</v>
      </c>
      <c r="G69" s="27" t="n">
        <v>0.156806458037966</v>
      </c>
      <c r="H69" s="35" t="n">
        <f aca="false">EXP(-0.120468493305387)-1</f>
        <v>-0.113494982251754</v>
      </c>
      <c r="I69" s="35" t="n">
        <f aca="false">EXP(0.434081409381318)-1</f>
        <v>0.543544522006288</v>
      </c>
      <c r="J69" s="27" t="n">
        <v>0.170731707317073</v>
      </c>
      <c r="K69" s="36" t="b">
        <f aca="false">TRUE()</f>
        <v>1</v>
      </c>
      <c r="L69" s="36" t="b">
        <f aca="false">IF('10 Assumptions'!$B$24="Yes",TRUE(),K69)</f>
        <v>1</v>
      </c>
      <c r="M69" s="22" t="n">
        <f aca="false">-(EXP(G69)-1)*D69</f>
        <v>-2640.68366794024</v>
      </c>
      <c r="N69" s="22" t="n">
        <f aca="false">IF(L69,M69,0)</f>
        <v>-2640.68366794024</v>
      </c>
      <c r="O69" s="31" t="n">
        <v>0</v>
      </c>
      <c r="P69" s="32" t="n">
        <f aca="false">-(EXP(O69)-1)*D69</f>
        <v>-0</v>
      </c>
      <c r="Q69" s="32" t="n">
        <f aca="false">ABS(F69-P69)</f>
        <v>5611.1672728603</v>
      </c>
      <c r="R69" s="36" t="b">
        <f aca="false">TRUE()</f>
        <v>1</v>
      </c>
    </row>
    <row r="70" customFormat="false" ht="15" hidden="false" customHeight="false" outlineLevel="0" collapsed="false">
      <c r="A70" s="15" t="str">
        <f aca="false">'03 Optimization Events'!A70</f>
        <v>i-048</v>
      </c>
      <c r="B70" s="15" t="str">
        <f aca="false">'03 Optimization Events'!C70</f>
        <v>bu-search</v>
      </c>
      <c r="C70" s="15" t="str">
        <f aca="false">'03 Optimization Events'!D70</f>
        <v>delete_orphaned_volume</v>
      </c>
      <c r="D70" s="8" t="n">
        <f aca="false">'03 Optimization Events'!I70</f>
        <v>8066.00498234446</v>
      </c>
      <c r="E70" s="25" t="n">
        <v>-0.866101761822552</v>
      </c>
      <c r="F70" s="18" t="n">
        <f aca="false">-(EXP(E70)-1)*D70</f>
        <v>4673.54080831703</v>
      </c>
      <c r="G70" s="25" t="n">
        <v>-0.933008568893287</v>
      </c>
      <c r="H70" s="29" t="n">
        <f aca="false">EXP(-1.10151418107635)-1</f>
        <v>-0.667632561996104</v>
      </c>
      <c r="I70" s="29" t="n">
        <f aca="false">EXP(-0.764502956710221)-1</f>
        <v>-0.534434720427418</v>
      </c>
      <c r="J70" s="25" t="n">
        <v>0.024390243902439</v>
      </c>
      <c r="K70" s="30" t="b">
        <f aca="false">TRUE()</f>
        <v>1</v>
      </c>
      <c r="L70" s="30" t="b">
        <f aca="false">IF('10 Assumptions'!$B$24="Yes",TRUE(),K70)</f>
        <v>1</v>
      </c>
      <c r="M70" s="18" t="n">
        <f aca="false">-(EXP(G70)-1)*D70</f>
        <v>4893.09308691106</v>
      </c>
      <c r="N70" s="18" t="n">
        <f aca="false">IF(L70,M70,0)</f>
        <v>4893.09308691106</v>
      </c>
      <c r="O70" s="31" t="n">
        <v>-0.866998655601296</v>
      </c>
      <c r="P70" s="32" t="n">
        <f aca="false">-(EXP(O70)-1)*D70</f>
        <v>4676.58212425678</v>
      </c>
      <c r="Q70" s="32" t="n">
        <f aca="false">ABS(F70-P70)</f>
        <v>3.04131593974853</v>
      </c>
      <c r="R70" s="30" t="b">
        <f aca="false">FALSE()</f>
        <v>0</v>
      </c>
    </row>
    <row r="71" customFormat="false" ht="15" hidden="false" customHeight="false" outlineLevel="0" collapsed="false">
      <c r="A71" s="33" t="str">
        <f aca="false">'03 Optimization Events'!A71</f>
        <v>i-077</v>
      </c>
      <c r="B71" s="33" t="str">
        <f aca="false">'03 Optimization Events'!C71</f>
        <v>bu-search</v>
      </c>
      <c r="C71" s="33" t="str">
        <f aca="false">'03 Optimization Events'!D71</f>
        <v>enable_autoscaling</v>
      </c>
      <c r="D71" s="34" t="n">
        <f aca="false">'03 Optimization Events'!I71</f>
        <v>67126.394843715</v>
      </c>
      <c r="E71" s="27" t="n">
        <v>-0.256184837536025</v>
      </c>
      <c r="F71" s="22" t="n">
        <f aca="false">-(EXP(E71)-1)*D71</f>
        <v>15170.6396428359</v>
      </c>
      <c r="G71" s="27" t="n">
        <v>-0.331798099011109</v>
      </c>
      <c r="H71" s="35" t="n">
        <f aca="false">EXP(-0.518215338395456)-1</f>
        <v>-0.404417486692214</v>
      </c>
      <c r="I71" s="35" t="n">
        <f aca="false">EXP(-0.145380859626761)-1</f>
        <v>-0.135307096227421</v>
      </c>
      <c r="J71" s="27" t="n">
        <v>0.024390243902439</v>
      </c>
      <c r="K71" s="36" t="b">
        <f aca="false">TRUE()</f>
        <v>1</v>
      </c>
      <c r="L71" s="36" t="b">
        <f aca="false">IF('10 Assumptions'!$B$24="Yes",TRUE(),K71)</f>
        <v>1</v>
      </c>
      <c r="M71" s="22" t="n">
        <f aca="false">-(EXP(G71)-1)*D71</f>
        <v>18954.3325091825</v>
      </c>
      <c r="N71" s="22" t="n">
        <f aca="false">IF(L71,M71,0)</f>
        <v>18954.3325091825</v>
      </c>
      <c r="O71" s="31" t="n">
        <v>-0.389613073783676</v>
      </c>
      <c r="P71" s="32" t="n">
        <f aca="false">-(EXP(O71)-1)*D71</f>
        <v>21660.4191795242</v>
      </c>
      <c r="Q71" s="32" t="n">
        <f aca="false">ABS(F71-P71)</f>
        <v>6489.77953668825</v>
      </c>
      <c r="R71" s="36" t="b">
        <f aca="false">FALSE()</f>
        <v>0</v>
      </c>
    </row>
    <row r="72" customFormat="false" ht="15" hidden="false" customHeight="false" outlineLevel="0" collapsed="false">
      <c r="A72" s="15" t="str">
        <f aca="false">'03 Optimization Events'!A72</f>
        <v>i-047</v>
      </c>
      <c r="B72" s="15" t="str">
        <f aca="false">'03 Optimization Events'!C72</f>
        <v>bu-platform</v>
      </c>
      <c r="C72" s="15" t="str">
        <f aca="false">'03 Optimization Events'!D72</f>
        <v>schedule_shutdown</v>
      </c>
      <c r="D72" s="8" t="n">
        <f aca="false">'03 Optimization Events'!I72</f>
        <v>45890.8968749512</v>
      </c>
      <c r="E72" s="25" t="n">
        <v>-0.600884558590839</v>
      </c>
      <c r="F72" s="18" t="n">
        <f aca="false">-(EXP(E72)-1)*D72</f>
        <v>20727.7068423988</v>
      </c>
      <c r="G72" s="25" t="n">
        <v>-0.637621338442025</v>
      </c>
      <c r="H72" s="29" t="n">
        <f aca="false">EXP(-0.793711648664515)-1</f>
        <v>-0.547836594850947</v>
      </c>
      <c r="I72" s="29" t="n">
        <f aca="false">EXP(-0.481531028219536)-1</f>
        <v>-0.382163258169665</v>
      </c>
      <c r="J72" s="25" t="n">
        <v>0.024390243902439</v>
      </c>
      <c r="K72" s="30" t="b">
        <f aca="false">TRUE()</f>
        <v>1</v>
      </c>
      <c r="L72" s="30" t="b">
        <f aca="false">IF('10 Assumptions'!$B$24="Yes",TRUE(),K72)</f>
        <v>1</v>
      </c>
      <c r="M72" s="18" t="n">
        <f aca="false">-(EXP(G72)-1)*D72</f>
        <v>21635.3474421933</v>
      </c>
      <c r="N72" s="18" t="n">
        <f aca="false">IF(L72,M72,0)</f>
        <v>21635.3474421933</v>
      </c>
      <c r="O72" s="31" t="n">
        <v>-0.808540269461524</v>
      </c>
      <c r="P72" s="32" t="n">
        <f aca="false">-(EXP(O72)-1)*D72</f>
        <v>25446.1391681331</v>
      </c>
      <c r="Q72" s="32" t="n">
        <f aca="false">ABS(F72-P72)</f>
        <v>4718.43232573436</v>
      </c>
      <c r="R72" s="30" t="b">
        <f aca="false">FALSE()</f>
        <v>0</v>
      </c>
    </row>
    <row r="73" customFormat="false" ht="15" hidden="false" customHeight="false" outlineLevel="0" collapsed="false">
      <c r="A73" s="33" t="str">
        <f aca="false">'03 Optimization Events'!A73</f>
        <v>i-033</v>
      </c>
      <c r="B73" s="33" t="str">
        <f aca="false">'03 Optimization Events'!C73</f>
        <v>bu-datalake</v>
      </c>
      <c r="C73" s="33" t="str">
        <f aca="false">'03 Optimization Events'!D73</f>
        <v>cache_inference_results</v>
      </c>
      <c r="D73" s="34" t="n">
        <f aca="false">'03 Optimization Events'!I73</f>
        <v>8261.44943833383</v>
      </c>
      <c r="E73" s="27" t="n">
        <v>-1.07598827076218</v>
      </c>
      <c r="F73" s="22" t="n">
        <f aca="false">-(EXP(E73)-1)*D73</f>
        <v>5444.62045524613</v>
      </c>
      <c r="G73" s="27" t="n">
        <v>-1.05223104965946</v>
      </c>
      <c r="H73" s="35" t="n">
        <f aca="false">EXP(-1.30106897326226)-1</f>
        <v>-0.727759380509764</v>
      </c>
      <c r="I73" s="35" t="n">
        <f aca="false">EXP(-0.803393126056657)-1</f>
        <v>-0.552193081991465</v>
      </c>
      <c r="J73" s="27" t="n">
        <v>0.024390243902439</v>
      </c>
      <c r="K73" s="36" t="b">
        <f aca="false">TRUE()</f>
        <v>1</v>
      </c>
      <c r="L73" s="36" t="b">
        <f aca="false">IF('10 Assumptions'!$B$24="Yes",TRUE(),K73)</f>
        <v>1</v>
      </c>
      <c r="M73" s="22" t="n">
        <f aca="false">-(EXP(G73)-1)*D73</f>
        <v>5376.89917675195</v>
      </c>
      <c r="N73" s="22" t="n">
        <f aca="false">IF(L73,M73,0)</f>
        <v>5376.89917675195</v>
      </c>
      <c r="O73" s="31" t="n">
        <v>-1.06525177555096</v>
      </c>
      <c r="P73" s="32" t="n">
        <f aca="false">-(EXP(O73)-1)*D73</f>
        <v>5414.21465054857</v>
      </c>
      <c r="Q73" s="32" t="n">
        <f aca="false">ABS(F73-P73)</f>
        <v>30.4058046975551</v>
      </c>
      <c r="R73" s="36" t="b">
        <f aca="false">FALSE()</f>
        <v>0</v>
      </c>
    </row>
    <row r="74" customFormat="false" ht="15" hidden="false" customHeight="false" outlineLevel="0" collapsed="false">
      <c r="A74" s="15" t="str">
        <f aca="false">'03 Optimization Events'!A74</f>
        <v>i-082</v>
      </c>
      <c r="B74" s="15" t="str">
        <f aca="false">'03 Optimization Events'!C74</f>
        <v>bu-platform</v>
      </c>
      <c r="C74" s="15" t="str">
        <f aca="false">'03 Optimization Events'!D74</f>
        <v>rightsize_instance</v>
      </c>
      <c r="D74" s="8" t="n">
        <f aca="false">'03 Optimization Events'!I74</f>
        <v>5802.35918740328</v>
      </c>
      <c r="E74" s="25" t="n">
        <v>-0.435090063830969</v>
      </c>
      <c r="F74" s="18" t="n">
        <f aca="false">-(EXP(E74)-1)*D74</f>
        <v>2047.03533378541</v>
      </c>
      <c r="G74" s="25" t="n">
        <v>-0.418116109894906</v>
      </c>
      <c r="H74" s="29" t="n">
        <f aca="false">EXP(-0.804381870573876)-1</f>
        <v>-0.552635629807002</v>
      </c>
      <c r="I74" s="29" t="n">
        <f aca="false">EXP(-0.0318503492159352)-1</f>
        <v>-0.0313484693058559</v>
      </c>
      <c r="J74" s="25" t="n">
        <v>0.0731707317073171</v>
      </c>
      <c r="K74" s="30" t="b">
        <f aca="false">TRUE()</f>
        <v>1</v>
      </c>
      <c r="L74" s="30" t="b">
        <f aca="false">IF('10 Assumptions'!$B$24="Yes",TRUE(),K74)</f>
        <v>1</v>
      </c>
      <c r="M74" s="18" t="n">
        <f aca="false">-(EXP(G74)-1)*D74</f>
        <v>1982.7485829971</v>
      </c>
      <c r="N74" s="18" t="n">
        <f aca="false">IF(L74,M74,0)</f>
        <v>1982.7485829971</v>
      </c>
      <c r="O74" s="31" t="n">
        <v>-0.350265551330395</v>
      </c>
      <c r="P74" s="32" t="n">
        <f aca="false">-(EXP(O74)-1)*D74</f>
        <v>1714.59143207837</v>
      </c>
      <c r="Q74" s="32" t="n">
        <f aca="false">ABS(F74-P74)</f>
        <v>332.443901707039</v>
      </c>
      <c r="R74" s="30" t="b">
        <f aca="false">FALSE()</f>
        <v>0</v>
      </c>
    </row>
    <row r="75" customFormat="false" ht="15" hidden="false" customHeight="false" outlineLevel="0" collapsed="false">
      <c r="A75" s="33" t="str">
        <f aca="false">'03 Optimization Events'!A75</f>
        <v>i-078</v>
      </c>
      <c r="B75" s="33" t="str">
        <f aca="false">'03 Optimization Events'!C75</f>
        <v>bu-datasci</v>
      </c>
      <c r="C75" s="33" t="str">
        <f aca="false">'03 Optimization Events'!D75</f>
        <v>delete_orphaned_volume</v>
      </c>
      <c r="D75" s="34" t="n">
        <f aca="false">'03 Optimization Events'!I75</f>
        <v>8290.85921762555</v>
      </c>
      <c r="E75" s="27" t="n">
        <v>-0.384417361645378</v>
      </c>
      <c r="F75" s="22" t="n">
        <f aca="false">-(EXP(E75)-1)*D75</f>
        <v>2646.05086438679</v>
      </c>
      <c r="G75" s="27" t="n">
        <v>-0.422463706313875</v>
      </c>
      <c r="H75" s="35" t="n">
        <f aca="false">EXP(-0.651804103835192)-1</f>
        <v>-0.478895198962805</v>
      </c>
      <c r="I75" s="35" t="n">
        <f aca="false">EXP(-0.193123308792558)-1</f>
        <v>-0.175619685469718</v>
      </c>
      <c r="J75" s="27" t="n">
        <v>0.0487804878048781</v>
      </c>
      <c r="K75" s="36" t="b">
        <f aca="false">TRUE()</f>
        <v>1</v>
      </c>
      <c r="L75" s="36" t="b">
        <f aca="false">IF('10 Assumptions'!$B$24="Yes",TRUE(),K75)</f>
        <v>1</v>
      </c>
      <c r="M75" s="22" t="n">
        <f aca="false">-(EXP(G75)-1)*D75</f>
        <v>2856.78101350064</v>
      </c>
      <c r="N75" s="22" t="n">
        <f aca="false">IF(L75,M75,0)</f>
        <v>2856.78101350064</v>
      </c>
      <c r="O75" s="31" t="n">
        <v>-0.396344035302564</v>
      </c>
      <c r="P75" s="32" t="n">
        <f aca="false">-(EXP(O75)-1)*D75</f>
        <v>2712.97476839138</v>
      </c>
      <c r="Q75" s="32" t="n">
        <f aca="false">ABS(F75-P75)</f>
        <v>66.9239040045873</v>
      </c>
      <c r="R75" s="36" t="b">
        <f aca="false">FALSE()</f>
        <v>0</v>
      </c>
    </row>
    <row r="76" customFormat="false" ht="15" hidden="false" customHeight="false" outlineLevel="0" collapsed="false">
      <c r="A76" s="15" t="str">
        <f aca="false">'03 Optimization Events'!A76</f>
        <v>i-106</v>
      </c>
      <c r="B76" s="15" t="str">
        <f aca="false">'03 Optimization Events'!C76</f>
        <v>bu-checkout</v>
      </c>
      <c r="C76" s="15" t="str">
        <f aca="false">'03 Optimization Events'!D76</f>
        <v>cache_inference_results</v>
      </c>
      <c r="D76" s="8" t="n">
        <f aca="false">'03 Optimization Events'!I76</f>
        <v>10031.0280748677</v>
      </c>
      <c r="E76" s="25" t="n">
        <v>0.101067463662769</v>
      </c>
      <c r="F76" s="18" t="n">
        <f aca="false">-(EXP(E76)-1)*D76</f>
        <v>-1066.81265296139</v>
      </c>
      <c r="G76" s="25" t="n">
        <v>0.132671396645333</v>
      </c>
      <c r="H76" s="29" t="n">
        <f aca="false">EXP(-0.0857729619668112)-1</f>
        <v>-0.0821974163392583</v>
      </c>
      <c r="I76" s="29" t="n">
        <f aca="false">EXP(0.351115755257476)-1</f>
        <v>0.420651764305468</v>
      </c>
      <c r="J76" s="25" t="n">
        <v>0.341463414634146</v>
      </c>
      <c r="K76" s="30" t="b">
        <f aca="false">TRUE()</f>
        <v>1</v>
      </c>
      <c r="L76" s="30" t="b">
        <f aca="false">IF('10 Assumptions'!$B$24="Yes",TRUE(),K76)</f>
        <v>1</v>
      </c>
      <c r="M76" s="18" t="n">
        <f aca="false">-(EXP(G76)-1)*D76</f>
        <v>-1423.1492273409</v>
      </c>
      <c r="N76" s="18" t="n">
        <f aca="false">IF(L76,M76,0)</f>
        <v>-1423.1492273409</v>
      </c>
      <c r="O76" s="31" t="n">
        <v>0</v>
      </c>
      <c r="P76" s="32" t="n">
        <f aca="false">-(EXP(O76)-1)*D76</f>
        <v>-0</v>
      </c>
      <c r="Q76" s="32" t="n">
        <f aca="false">ABS(F76-P76)</f>
        <v>1066.81265296139</v>
      </c>
      <c r="R76" s="30" t="b">
        <f aca="false">TRUE()</f>
        <v>1</v>
      </c>
    </row>
    <row r="77" customFormat="false" ht="15" hidden="false" customHeight="false" outlineLevel="0" collapsed="false">
      <c r="A77" s="33" t="str">
        <f aca="false">'03 Optimization Events'!A77</f>
        <v>i-096</v>
      </c>
      <c r="B77" s="33" t="str">
        <f aca="false">'03 Optimization Events'!C77</f>
        <v>bu-assist</v>
      </c>
      <c r="C77" s="33" t="str">
        <f aca="false">'03 Optimization Events'!D77</f>
        <v>cache_inference_results</v>
      </c>
      <c r="D77" s="34" t="n">
        <f aca="false">'03 Optimization Events'!I77</f>
        <v>7432.65887649464</v>
      </c>
      <c r="E77" s="27" t="n">
        <v>-0.0122203266213861</v>
      </c>
      <c r="F77" s="22" t="n">
        <f aca="false">-(EXP(E77)-1)*D77</f>
        <v>90.2767897429754</v>
      </c>
      <c r="G77" s="27" t="n">
        <v>-0.0976236516674644</v>
      </c>
      <c r="H77" s="35" t="n">
        <f aca="false">EXP(-0.377498996202512)-1</f>
        <v>-0.314426110238704</v>
      </c>
      <c r="I77" s="35" t="n">
        <f aca="false">EXP(0.182251692867583)-1</f>
        <v>0.199916166216867</v>
      </c>
      <c r="J77" s="27" t="n">
        <v>0.536585365853659</v>
      </c>
      <c r="K77" s="36" t="b">
        <f aca="false">FALSE()</f>
        <v>0</v>
      </c>
      <c r="L77" s="36" t="b">
        <f aca="false">IF('10 Assumptions'!$B$24="Yes",TRUE(),K77)</f>
        <v>0</v>
      </c>
      <c r="M77" s="22" t="n">
        <f aca="false">-(EXP(G77)-1)*D77</f>
        <v>691.310236180013</v>
      </c>
      <c r="N77" s="22" t="n">
        <f aca="false">IF(L77,M77,0)</f>
        <v>0</v>
      </c>
      <c r="O77" s="31" t="n">
        <v>0</v>
      </c>
      <c r="P77" s="32" t="n">
        <f aca="false">-(EXP(O77)-1)*D77</f>
        <v>-0</v>
      </c>
      <c r="Q77" s="32" t="n">
        <f aca="false">ABS(F77-P77)</f>
        <v>90.2767897429754</v>
      </c>
      <c r="R77" s="36" t="b">
        <f aca="false">TRUE()</f>
        <v>1</v>
      </c>
    </row>
    <row r="78" customFormat="false" ht="15" hidden="false" customHeight="false" outlineLevel="0" collapsed="false">
      <c r="A78" s="15" t="str">
        <f aca="false">'03 Optimization Events'!A78</f>
        <v>i-098</v>
      </c>
      <c r="B78" s="15" t="str">
        <f aca="false">'03 Optimization Events'!C78</f>
        <v>bu-checkout</v>
      </c>
      <c r="C78" s="15" t="str">
        <f aca="false">'03 Optimization Events'!D78</f>
        <v>cache_inference_results</v>
      </c>
      <c r="D78" s="8" t="n">
        <f aca="false">'03 Optimization Events'!I78</f>
        <v>1818.18663616772</v>
      </c>
      <c r="E78" s="25" t="n">
        <v>-0.098906151421498</v>
      </c>
      <c r="F78" s="18" t="n">
        <f aca="false">-(EXP(E78)-1)*D78</f>
        <v>171.222790669835</v>
      </c>
      <c r="G78" s="25" t="n">
        <v>0.0307996392115152</v>
      </c>
      <c r="H78" s="29" t="n">
        <f aca="false">EXP(-0.146697645262625)-1</f>
        <v>-0.136444962095412</v>
      </c>
      <c r="I78" s="29" t="n">
        <f aca="false">EXP(0.208296923685655)-1</f>
        <v>0.231578800180508</v>
      </c>
      <c r="J78" s="25" t="n">
        <v>0.707317073170732</v>
      </c>
      <c r="K78" s="30" t="b">
        <f aca="false">TRUE()</f>
        <v>1</v>
      </c>
      <c r="L78" s="30" t="b">
        <f aca="false">IF('10 Assumptions'!$B$24="Yes",TRUE(),K78)</f>
        <v>1</v>
      </c>
      <c r="M78" s="18" t="n">
        <f aca="false">-(EXP(G78)-1)*D78</f>
        <v>-56.8707967746796</v>
      </c>
      <c r="N78" s="18" t="n">
        <f aca="false">IF(L78,M78,0)</f>
        <v>-56.8707967746796</v>
      </c>
      <c r="O78" s="31" t="n">
        <v>0</v>
      </c>
      <c r="P78" s="32" t="n">
        <f aca="false">-(EXP(O78)-1)*D78</f>
        <v>-0</v>
      </c>
      <c r="Q78" s="32" t="n">
        <f aca="false">ABS(F78-P78)</f>
        <v>171.222790669835</v>
      </c>
      <c r="R78" s="30" t="b">
        <f aca="false">TRUE()</f>
        <v>1</v>
      </c>
    </row>
    <row r="79" customFormat="false" ht="15" hidden="false" customHeight="false" outlineLevel="0" collapsed="false">
      <c r="A79" s="33" t="str">
        <f aca="false">'03 Optimization Events'!A79</f>
        <v>i-009</v>
      </c>
      <c r="B79" s="33" t="str">
        <f aca="false">'03 Optimization Events'!C79</f>
        <v>bu-search</v>
      </c>
      <c r="C79" s="33" t="str">
        <f aca="false">'03 Optimization Events'!D79</f>
        <v>rightsize_instance</v>
      </c>
      <c r="D79" s="34" t="n">
        <f aca="false">'03 Optimization Events'!I79</f>
        <v>35564.8197477489</v>
      </c>
      <c r="E79" s="27" t="n">
        <v>-1.29314102021126</v>
      </c>
      <c r="F79" s="22" t="n">
        <f aca="false">-(EXP(E79)-1)*D79</f>
        <v>25805.5661709536</v>
      </c>
      <c r="G79" s="27" t="n">
        <v>-1.11123771675487</v>
      </c>
      <c r="H79" s="35" t="n">
        <f aca="false">EXP(-1.32988453799133)-1</f>
        <v>-0.735492199861335</v>
      </c>
      <c r="I79" s="35" t="n">
        <f aca="false">EXP(-0.8925908955184)-1</f>
        <v>-0.590406836274086</v>
      </c>
      <c r="J79" s="27" t="n">
        <v>0.024390243902439</v>
      </c>
      <c r="K79" s="36" t="b">
        <f aca="false">TRUE()</f>
        <v>1</v>
      </c>
      <c r="L79" s="36" t="b">
        <f aca="false">IF('10 Assumptions'!$B$24="Yes",TRUE(),K79)</f>
        <v>1</v>
      </c>
      <c r="M79" s="22" t="n">
        <f aca="false">-(EXP(G79)-1)*D79</f>
        <v>23858.612639848</v>
      </c>
      <c r="N79" s="22" t="n">
        <f aca="false">IF(L79,M79,0)</f>
        <v>23858.612639848</v>
      </c>
      <c r="O79" s="31" t="n">
        <v>-1.2728948818661</v>
      </c>
      <c r="P79" s="32" t="n">
        <f aca="false">-(EXP(O79)-1)*D79</f>
        <v>25605.9652167167</v>
      </c>
      <c r="Q79" s="32" t="n">
        <f aca="false">ABS(F79-P79)</f>
        <v>199.600954236877</v>
      </c>
      <c r="R79" s="36" t="b">
        <f aca="false">FALSE()</f>
        <v>0</v>
      </c>
    </row>
    <row r="80" customFormat="false" ht="15" hidden="false" customHeight="false" outlineLevel="0" collapsed="false">
      <c r="A80" s="15" t="str">
        <f aca="false">'03 Optimization Events'!A80</f>
        <v>i-064</v>
      </c>
      <c r="B80" s="15" t="str">
        <f aca="false">'03 Optimization Events'!C80</f>
        <v>bu-checkout</v>
      </c>
      <c r="C80" s="15" t="str">
        <f aca="false">'03 Optimization Events'!D80</f>
        <v>consolidate_cluster</v>
      </c>
      <c r="D80" s="8" t="n">
        <f aca="false">'03 Optimization Events'!I80</f>
        <v>7939.9167539352</v>
      </c>
      <c r="E80" s="25" t="n">
        <v>-1.1665897142368</v>
      </c>
      <c r="F80" s="18" t="n">
        <f aca="false">-(EXP(E80)-1)*D80</f>
        <v>5467.21080573627</v>
      </c>
      <c r="G80" s="25" t="n">
        <v>-0.957024932730519</v>
      </c>
      <c r="H80" s="29" t="n">
        <f aca="false">EXP(-1.1823736502146)-1</f>
        <v>-0.6934497686899</v>
      </c>
      <c r="I80" s="29" t="n">
        <f aca="false">EXP(-0.731676215246439)-1</f>
        <v>-0.51889811647524</v>
      </c>
      <c r="J80" s="25" t="n">
        <v>0.024390243902439</v>
      </c>
      <c r="K80" s="30" t="b">
        <f aca="false">TRUE()</f>
        <v>1</v>
      </c>
      <c r="L80" s="30" t="b">
        <f aca="false">IF('10 Assumptions'!$B$24="Yes",TRUE(),K80)</f>
        <v>1</v>
      </c>
      <c r="M80" s="18" t="n">
        <f aca="false">-(EXP(G80)-1)*D80</f>
        <v>4890.72103211058</v>
      </c>
      <c r="N80" s="18" t="n">
        <f aca="false">IF(L80,M80,0)</f>
        <v>4890.72103211058</v>
      </c>
      <c r="O80" s="31" t="n">
        <v>-0.899706618501371</v>
      </c>
      <c r="P80" s="32" t="n">
        <f aca="false">-(EXP(O80)-1)*D80</f>
        <v>4710.84028858057</v>
      </c>
      <c r="Q80" s="32" t="n">
        <f aca="false">ABS(F80-P80)</f>
        <v>756.370517155705</v>
      </c>
      <c r="R80" s="30" t="b">
        <f aca="false">FALSE()</f>
        <v>0</v>
      </c>
    </row>
    <row r="81" customFormat="false" ht="15" hidden="false" customHeight="false" outlineLevel="0" collapsed="false">
      <c r="A81" s="33" t="str">
        <f aca="false">'03 Optimization Events'!A81</f>
        <v>i-031</v>
      </c>
      <c r="B81" s="33" t="str">
        <f aca="false">'03 Optimization Events'!C81</f>
        <v>bu-checkout</v>
      </c>
      <c r="C81" s="33" t="str">
        <f aca="false">'03 Optimization Events'!D81</f>
        <v>consolidate_cluster</v>
      </c>
      <c r="D81" s="34" t="n">
        <f aca="false">'03 Optimization Events'!I81</f>
        <v>4699.27339504326</v>
      </c>
      <c r="E81" s="27" t="n">
        <v>-1.19063640949419</v>
      </c>
      <c r="F81" s="22" t="n">
        <f aca="false">-(EXP(E81)-1)*D81</f>
        <v>3270.56403619578</v>
      </c>
      <c r="G81" s="27" t="n">
        <v>-0.955815091960399</v>
      </c>
      <c r="H81" s="35" t="n">
        <f aca="false">EXP(-1.13605396313482)-1</f>
        <v>-0.678916467270913</v>
      </c>
      <c r="I81" s="35" t="n">
        <f aca="false">EXP(-0.77557622078598)-1</f>
        <v>-0.539561609626685</v>
      </c>
      <c r="J81" s="27" t="n">
        <v>0.024390243902439</v>
      </c>
      <c r="K81" s="36" t="b">
        <f aca="false">TRUE()</f>
        <v>1</v>
      </c>
      <c r="L81" s="36" t="b">
        <f aca="false">IF('10 Assumptions'!$B$24="Yes",TRUE(),K81)</f>
        <v>1</v>
      </c>
      <c r="M81" s="22" t="n">
        <f aca="false">-(EXP(G81)-1)*D81</f>
        <v>2892.40928284799</v>
      </c>
      <c r="N81" s="22" t="n">
        <f aca="false">IF(L81,M81,0)</f>
        <v>2892.40928284799</v>
      </c>
      <c r="O81" s="31" t="n">
        <v>-0.984654464928424</v>
      </c>
      <c r="P81" s="32" t="n">
        <f aca="false">-(EXP(O81)-1)*D81</f>
        <v>2943.77388937336</v>
      </c>
      <c r="Q81" s="32" t="n">
        <f aca="false">ABS(F81-P81)</f>
        <v>326.790146822428</v>
      </c>
      <c r="R81" s="36" t="b">
        <f aca="false">FALSE()</f>
        <v>0</v>
      </c>
    </row>
    <row r="82" customFormat="false" ht="15" hidden="false" customHeight="false" outlineLevel="0" collapsed="false">
      <c r="A82" s="15" t="str">
        <f aca="false">'03 Optimization Events'!A82</f>
        <v>i-074</v>
      </c>
      <c r="B82" s="15" t="str">
        <f aca="false">'03 Optimization Events'!C82</f>
        <v>bu-search</v>
      </c>
      <c r="C82" s="15" t="str">
        <f aca="false">'03 Optimization Events'!D82</f>
        <v>enable_autoscaling</v>
      </c>
      <c r="D82" s="8" t="n">
        <f aca="false">'03 Optimization Events'!I82</f>
        <v>30223.0037296308</v>
      </c>
      <c r="E82" s="25" t="n">
        <v>-0.922536868696004</v>
      </c>
      <c r="F82" s="18" t="n">
        <f aca="false">-(EXP(E82)-1)*D82</f>
        <v>18209.0777091822</v>
      </c>
      <c r="G82" s="25" t="n">
        <v>-0.711027455520304</v>
      </c>
      <c r="H82" s="29" t="n">
        <f aca="false">EXP(-0.890791083564378)-1</f>
        <v>-0.589668981801255</v>
      </c>
      <c r="I82" s="29" t="n">
        <f aca="false">EXP(-0.531263827476231)-1</f>
        <v>-0.412138455575386</v>
      </c>
      <c r="J82" s="25" t="n">
        <v>0.024390243902439</v>
      </c>
      <c r="K82" s="30" t="b">
        <f aca="false">TRUE()</f>
        <v>1</v>
      </c>
      <c r="L82" s="30" t="b">
        <f aca="false">IF('10 Assumptions'!$B$24="Yes",TRUE(),K82)</f>
        <v>1</v>
      </c>
      <c r="M82" s="18" t="n">
        <f aca="false">-(EXP(G82)-1)*D82</f>
        <v>15379.2984007716</v>
      </c>
      <c r="N82" s="18" t="n">
        <f aca="false">IF(L82,M82,0)</f>
        <v>15379.2984007716</v>
      </c>
      <c r="O82" s="31" t="n">
        <v>-0.673911694902604</v>
      </c>
      <c r="P82" s="32" t="n">
        <f aca="false">-(EXP(O82)-1)*D82</f>
        <v>14818.0111182486</v>
      </c>
      <c r="Q82" s="32" t="n">
        <f aca="false">ABS(F82-P82)</f>
        <v>3391.06659093368</v>
      </c>
      <c r="R82" s="30" t="b">
        <f aca="false">FALSE()</f>
        <v>0</v>
      </c>
    </row>
    <row r="83" customFormat="false" ht="15" hidden="false" customHeight="false" outlineLevel="0" collapsed="false">
      <c r="A83" s="33" t="str">
        <f aca="false">'03 Optimization Events'!A83</f>
        <v>i-010</v>
      </c>
      <c r="B83" s="33" t="str">
        <f aca="false">'03 Optimization Events'!C83</f>
        <v>bu-platform</v>
      </c>
      <c r="C83" s="33" t="str">
        <f aca="false">'03 Optimization Events'!D83</f>
        <v>tune_batch_size</v>
      </c>
      <c r="D83" s="34" t="n">
        <f aca="false">'03 Optimization Events'!I83</f>
        <v>147563.510584511</v>
      </c>
      <c r="E83" s="27" t="n">
        <v>-1.33248287383589</v>
      </c>
      <c r="F83" s="22" t="n">
        <f aca="false">-(EXP(E83)-1)*D83</f>
        <v>108633.096838846</v>
      </c>
      <c r="G83" s="27" t="n">
        <v>-1.25611897996523</v>
      </c>
      <c r="H83" s="35" t="n">
        <f aca="false">EXP(-1.61432312354245)-1</f>
        <v>-0.800974659574404</v>
      </c>
      <c r="I83" s="35" t="n">
        <f aca="false">EXP(-0.897914836388015)-1</f>
        <v>-0.592581691520925</v>
      </c>
      <c r="J83" s="27" t="n">
        <v>0.024390243902439</v>
      </c>
      <c r="K83" s="36" t="b">
        <f aca="false">TRUE()</f>
        <v>1</v>
      </c>
      <c r="L83" s="36" t="b">
        <f aca="false">IF('10 Assumptions'!$B$24="Yes",TRUE(),K83)</f>
        <v>1</v>
      </c>
      <c r="M83" s="22" t="n">
        <f aca="false">-(EXP(G83)-1)*D83</f>
        <v>105543.763209727</v>
      </c>
      <c r="N83" s="22" t="n">
        <f aca="false">IF(L83,M83,0)</f>
        <v>105543.763209727</v>
      </c>
      <c r="O83" s="31" t="n">
        <v>-1.07446367137428</v>
      </c>
      <c r="P83" s="32" t="n">
        <f aca="false">-(EXP(O83)-1)*D83</f>
        <v>97173.3972434669</v>
      </c>
      <c r="Q83" s="32" t="n">
        <f aca="false">ABS(F83-P83)</f>
        <v>11459.6995953786</v>
      </c>
      <c r="R83" s="36" t="b">
        <f aca="false">FALSE()</f>
        <v>0</v>
      </c>
    </row>
    <row r="84" customFormat="false" ht="15" hidden="false" customHeight="false" outlineLevel="0" collapsed="false">
      <c r="A84" s="15" t="str">
        <f aca="false">'03 Optimization Events'!A84</f>
        <v>i-022</v>
      </c>
      <c r="B84" s="15" t="str">
        <f aca="false">'03 Optimization Events'!C84</f>
        <v>bu-assist</v>
      </c>
      <c r="C84" s="15" t="str">
        <f aca="false">'03 Optimization Events'!D84</f>
        <v>cache_inference_results</v>
      </c>
      <c r="D84" s="8" t="n">
        <f aca="false">'03 Optimization Events'!I84</f>
        <v>183203.315094711</v>
      </c>
      <c r="E84" s="25" t="n">
        <v>-1.10024767361459</v>
      </c>
      <c r="F84" s="18" t="n">
        <f aca="false">-(EXP(E84)-1)*D84</f>
        <v>122235.331093136</v>
      </c>
      <c r="G84" s="25" t="n">
        <v>-1.16610927227314</v>
      </c>
      <c r="H84" s="29" t="n">
        <f aca="false">EXP(-1.38060030730487)-1</f>
        <v>-0.748572426061925</v>
      </c>
      <c r="I84" s="29" t="n">
        <f aca="false">EXP(-0.951618237241415)-1</f>
        <v>-0.613884309167704</v>
      </c>
      <c r="J84" s="25" t="n">
        <v>0.024390243902439</v>
      </c>
      <c r="K84" s="30" t="b">
        <f aca="false">TRUE()</f>
        <v>1</v>
      </c>
      <c r="L84" s="30" t="b">
        <f aca="false">IF('10 Assumptions'!$B$24="Yes",TRUE(),K84)</f>
        <v>1</v>
      </c>
      <c r="M84" s="18" t="n">
        <f aca="false">-(EXP(G84)-1)*D84</f>
        <v>126121.403870788</v>
      </c>
      <c r="N84" s="18" t="n">
        <f aca="false">IF(L84,M84,0)</f>
        <v>126121.403870788</v>
      </c>
      <c r="O84" s="31" t="n">
        <v>-1.14194407573734</v>
      </c>
      <c r="P84" s="32" t="n">
        <f aca="false">-(EXP(O84)-1)*D84</f>
        <v>124725.206518285</v>
      </c>
      <c r="Q84" s="32" t="n">
        <f aca="false">ABS(F84-P84)</f>
        <v>2489.8754251489</v>
      </c>
      <c r="R84" s="30" t="b">
        <f aca="false">FALSE()</f>
        <v>0</v>
      </c>
    </row>
    <row r="85" customFormat="false" ht="15" hidden="false" customHeight="false" outlineLevel="0" collapsed="false">
      <c r="A85" s="33" t="str">
        <f aca="false">'03 Optimization Events'!A85</f>
        <v>i-104</v>
      </c>
      <c r="B85" s="33" t="str">
        <f aca="false">'03 Optimization Events'!C85</f>
        <v>bu-checkout</v>
      </c>
      <c r="C85" s="33" t="str">
        <f aca="false">'03 Optimization Events'!D85</f>
        <v>consolidate_cluster</v>
      </c>
      <c r="D85" s="34" t="n">
        <f aca="false">'03 Optimization Events'!I85</f>
        <v>35723.1327021442</v>
      </c>
      <c r="E85" s="27" t="n">
        <v>0.0525725290769268</v>
      </c>
      <c r="F85" s="22" t="n">
        <f aca="false">-(EXP(E85)-1)*D85</f>
        <v>-1928.29910268126</v>
      </c>
      <c r="G85" s="27" t="n">
        <v>0.302783438301798</v>
      </c>
      <c r="H85" s="35" t="n">
        <f aca="false">EXP(0.0760273856678042)-1</f>
        <v>0.0789921226725141</v>
      </c>
      <c r="I85" s="35" t="n">
        <f aca="false">EXP(0.529539490935792)-1</f>
        <v>0.698150115008403</v>
      </c>
      <c r="J85" s="27" t="n">
        <v>0.0487804878048781</v>
      </c>
      <c r="K85" s="36" t="b">
        <f aca="false">FALSE()</f>
        <v>0</v>
      </c>
      <c r="L85" s="36" t="b">
        <f aca="false">IF('10 Assumptions'!$B$24="Yes",TRUE(),K85)</f>
        <v>0</v>
      </c>
      <c r="M85" s="22" t="n">
        <f aca="false">-(EXP(G85)-1)*D85</f>
        <v>-12632.4602751518</v>
      </c>
      <c r="N85" s="22" t="n">
        <f aca="false">IF(L85,M85,0)</f>
        <v>0</v>
      </c>
      <c r="O85" s="31" t="n">
        <v>0</v>
      </c>
      <c r="P85" s="32" t="n">
        <f aca="false">-(EXP(O85)-1)*D85</f>
        <v>-0</v>
      </c>
      <c r="Q85" s="32" t="n">
        <f aca="false">ABS(F85-P85)</f>
        <v>1928.29910268126</v>
      </c>
      <c r="R85" s="36" t="b">
        <f aca="false">TRUE()</f>
        <v>1</v>
      </c>
    </row>
    <row r="86" customFormat="false" ht="15" hidden="false" customHeight="false" outlineLevel="0" collapsed="false">
      <c r="A86" s="15" t="str">
        <f aca="false">'03 Optimization Events'!A86</f>
        <v>i-040</v>
      </c>
      <c r="B86" s="15" t="str">
        <f aca="false">'03 Optimization Events'!C86</f>
        <v>bu-datasci</v>
      </c>
      <c r="C86" s="15" t="str">
        <f aca="false">'03 Optimization Events'!D86</f>
        <v>enable_autoscaling</v>
      </c>
      <c r="D86" s="8" t="n">
        <f aca="false">'03 Optimization Events'!I86</f>
        <v>134432.901127761</v>
      </c>
      <c r="E86" s="25" t="n">
        <v>-0.710884968425529</v>
      </c>
      <c r="F86" s="18" t="n">
        <f aca="false">-(EXP(E86)-1)*D86</f>
        <v>68398.209823043</v>
      </c>
      <c r="G86" s="25" t="n">
        <v>-0.813902157391155</v>
      </c>
      <c r="H86" s="29" t="n">
        <f aca="false">EXP(-1.00331351532943)-1</f>
        <v>-0.633337515680217</v>
      </c>
      <c r="I86" s="29" t="n">
        <f aca="false">EXP(-0.624490799452882)-1</f>
        <v>-0.464465946664294</v>
      </c>
      <c r="J86" s="25" t="n">
        <v>0.024390243902439</v>
      </c>
      <c r="K86" s="30" t="b">
        <f aca="false">TRUE()</f>
        <v>1</v>
      </c>
      <c r="L86" s="30" t="b">
        <f aca="false">IF('10 Assumptions'!$B$24="Yes",TRUE(),K86)</f>
        <v>1</v>
      </c>
      <c r="M86" s="18" t="n">
        <f aca="false">-(EXP(G86)-1)*D86</f>
        <v>74862.2488829437</v>
      </c>
      <c r="N86" s="18" t="n">
        <f aca="false">IF(L86,M86,0)</f>
        <v>74862.2488829437</v>
      </c>
      <c r="O86" s="31" t="n">
        <v>-0.830292720530799</v>
      </c>
      <c r="P86" s="32" t="n">
        <f aca="false">-(EXP(O86)-1)*D86</f>
        <v>75830.6871149786</v>
      </c>
      <c r="Q86" s="32" t="n">
        <f aca="false">ABS(F86-P86)</f>
        <v>7432.47729193563</v>
      </c>
      <c r="R86" s="30" t="b">
        <f aca="false">FALSE()</f>
        <v>0</v>
      </c>
    </row>
    <row r="87" customFormat="false" ht="15" hidden="false" customHeight="false" outlineLevel="0" collapsed="false">
      <c r="A87" s="33" t="str">
        <f aca="false">'03 Optimization Events'!A87</f>
        <v>i-050</v>
      </c>
      <c r="B87" s="33" t="str">
        <f aca="false">'03 Optimization Events'!C87</f>
        <v>bu-datalake</v>
      </c>
      <c r="C87" s="33" t="str">
        <f aca="false">'03 Optimization Events'!D87</f>
        <v>cache_inference_results</v>
      </c>
      <c r="D87" s="34" t="n">
        <f aca="false">'03 Optimization Events'!I87</f>
        <v>112472.528606713</v>
      </c>
      <c r="E87" s="27" t="n">
        <v>-0.839088266501123</v>
      </c>
      <c r="F87" s="22" t="n">
        <f aca="false">-(EXP(E87)-1)*D87</f>
        <v>63872.6644797259</v>
      </c>
      <c r="G87" s="27" t="n">
        <v>-0.901459010942642</v>
      </c>
      <c r="H87" s="35" t="n">
        <f aca="false">EXP(-1.10941820529612)-1</f>
        <v>-0.670249247480428</v>
      </c>
      <c r="I87" s="35" t="n">
        <f aca="false">EXP(-0.693499816589162)-1</f>
        <v>-0.50017628693022</v>
      </c>
      <c r="J87" s="27" t="n">
        <v>0.024390243902439</v>
      </c>
      <c r="K87" s="36" t="b">
        <f aca="false">TRUE()</f>
        <v>1</v>
      </c>
      <c r="L87" s="36" t="b">
        <f aca="false">IF('10 Assumptions'!$B$24="Yes",TRUE(),K87)</f>
        <v>1</v>
      </c>
      <c r="M87" s="22" t="n">
        <f aca="false">-(EXP(G87)-1)*D87</f>
        <v>66811.2798060614</v>
      </c>
      <c r="N87" s="22" t="n">
        <f aca="false">IF(L87,M87,0)</f>
        <v>66811.2798060614</v>
      </c>
      <c r="O87" s="31" t="n">
        <v>-0.997407496185486</v>
      </c>
      <c r="P87" s="32" t="n">
        <f aca="false">-(EXP(O87)-1)*D87</f>
        <v>70988.7901728925</v>
      </c>
      <c r="Q87" s="32" t="n">
        <f aca="false">ABS(F87-P87)</f>
        <v>7116.12569316658</v>
      </c>
      <c r="R87" s="36" t="b">
        <f aca="false">FALSE()</f>
        <v>0</v>
      </c>
    </row>
    <row r="88" customFormat="false" ht="15" hidden="false" customHeight="false" outlineLevel="0" collapsed="false">
      <c r="A88" s="15" t="str">
        <f aca="false">'03 Optimization Events'!A88</f>
        <v>i-052</v>
      </c>
      <c r="B88" s="15" t="str">
        <f aca="false">'03 Optimization Events'!C88</f>
        <v>bu-search</v>
      </c>
      <c r="C88" s="15" t="str">
        <f aca="false">'03 Optimization Events'!D88</f>
        <v>cache_inference_results</v>
      </c>
      <c r="D88" s="8" t="n">
        <f aca="false">'03 Optimization Events'!I88</f>
        <v>13985.0041193057</v>
      </c>
      <c r="E88" s="25" t="n">
        <v>-1.04011272677661</v>
      </c>
      <c r="F88" s="18" t="n">
        <f aca="false">-(EXP(E88)-1)*D88</f>
        <v>9042.49612052352</v>
      </c>
      <c r="G88" s="25" t="n">
        <v>-0.811475884448167</v>
      </c>
      <c r="H88" s="29" t="n">
        <f aca="false">EXP(-1.01181916551076)-1</f>
        <v>-0.636442992733325</v>
      </c>
      <c r="I88" s="29" t="n">
        <f aca="false">EXP(-0.611132603385575)-1</f>
        <v>-0.457264183588257</v>
      </c>
      <c r="J88" s="25" t="n">
        <v>0.024390243902439</v>
      </c>
      <c r="K88" s="30" t="b">
        <f aca="false">TRUE()</f>
        <v>1</v>
      </c>
      <c r="L88" s="30" t="b">
        <f aca="false">IF('10 Assumptions'!$B$24="Yes",TRUE(),K88)</f>
        <v>1</v>
      </c>
      <c r="M88" s="18" t="n">
        <f aca="false">-(EXP(G88)-1)*D88</f>
        <v>7772.83743997182</v>
      </c>
      <c r="N88" s="18" t="n">
        <f aca="false">IF(L88,M88,0)</f>
        <v>7772.83743997182</v>
      </c>
      <c r="O88" s="31" t="n">
        <v>-0.848126240845498</v>
      </c>
      <c r="P88" s="32" t="n">
        <f aca="false">-(EXP(O88)-1)*D88</f>
        <v>7996.39382835703</v>
      </c>
      <c r="Q88" s="32" t="n">
        <f aca="false">ABS(F88-P88)</f>
        <v>1046.10229216649</v>
      </c>
      <c r="R88" s="30" t="b">
        <f aca="false">FALSE()</f>
        <v>0</v>
      </c>
    </row>
    <row r="89" customFormat="false" ht="15" hidden="false" customHeight="false" outlineLevel="0" collapsed="false">
      <c r="A89" s="33" t="str">
        <f aca="false">'03 Optimization Events'!A89</f>
        <v>i-039</v>
      </c>
      <c r="B89" s="33" t="str">
        <f aca="false">'03 Optimization Events'!C89</f>
        <v>bu-platform</v>
      </c>
      <c r="C89" s="33" t="str">
        <f aca="false">'03 Optimization Events'!D89</f>
        <v>schedule_shutdown</v>
      </c>
      <c r="D89" s="34" t="n">
        <f aca="false">'03 Optimization Events'!I89</f>
        <v>52124.8646901856</v>
      </c>
      <c r="E89" s="27" t="n">
        <v>-0.807701670367458</v>
      </c>
      <c r="F89" s="22" t="n">
        <f aca="false">-(EXP(E89)-1)*D89</f>
        <v>28883.3428411733</v>
      </c>
      <c r="G89" s="27" t="n">
        <v>-0.896399481884445</v>
      </c>
      <c r="H89" s="35" t="n">
        <f aca="false">EXP(-1.17852407944204)-1</f>
        <v>-0.692267407547818</v>
      </c>
      <c r="I89" s="35" t="n">
        <f aca="false">EXP(-0.614274884326846)-1</f>
        <v>-0.458966935337057</v>
      </c>
      <c r="J89" s="27" t="n">
        <v>0.024390243902439</v>
      </c>
      <c r="K89" s="36" t="b">
        <f aca="false">TRUE()</f>
        <v>1</v>
      </c>
      <c r="L89" s="36" t="b">
        <f aca="false">IF('10 Assumptions'!$B$24="Yes",TRUE(),K89)</f>
        <v>1</v>
      </c>
      <c r="M89" s="22" t="n">
        <f aca="false">-(EXP(G89)-1)*D89</f>
        <v>30856.0350791415</v>
      </c>
      <c r="N89" s="22" t="n">
        <f aca="false">IF(L89,M89,0)</f>
        <v>30856.0350791415</v>
      </c>
      <c r="O89" s="31" t="n">
        <v>-0.886113133795123</v>
      </c>
      <c r="P89" s="32" t="n">
        <f aca="false">-(EXP(O89)-1)*D89</f>
        <v>30636.1274099066</v>
      </c>
      <c r="Q89" s="32" t="n">
        <f aca="false">ABS(F89-P89)</f>
        <v>1752.78456873329</v>
      </c>
      <c r="R89" s="36" t="b">
        <f aca="false">FALSE()</f>
        <v>0</v>
      </c>
    </row>
    <row r="90" customFormat="false" ht="15" hidden="false" customHeight="false" outlineLevel="0" collapsed="false">
      <c r="A90" s="15" t="str">
        <f aca="false">'03 Optimization Events'!A90</f>
        <v>i-091</v>
      </c>
      <c r="B90" s="15" t="str">
        <f aca="false">'03 Optimization Events'!C90</f>
        <v>bu-platform</v>
      </c>
      <c r="C90" s="15" t="str">
        <f aca="false">'03 Optimization Events'!D90</f>
        <v>migrate_storage_class</v>
      </c>
      <c r="D90" s="8" t="n">
        <f aca="false">'03 Optimization Events'!I90</f>
        <v>480.328566052754</v>
      </c>
      <c r="E90" s="25" t="n">
        <v>0.277726012166329</v>
      </c>
      <c r="F90" s="18" t="n">
        <f aca="false">-(EXP(E90)-1)*D90</f>
        <v>-153.764917842486</v>
      </c>
      <c r="G90" s="25" t="n">
        <v>0.219917601292438</v>
      </c>
      <c r="H90" s="29" t="n">
        <f aca="false">EXP(-0.296361284418711)-1</f>
        <v>-0.256481242252283</v>
      </c>
      <c r="I90" s="29" t="n">
        <f aca="false">EXP(0.736196487003586)-1</f>
        <v>1.08797873796917</v>
      </c>
      <c r="J90" s="25" t="n">
        <v>0.390243902439024</v>
      </c>
      <c r="K90" s="30" t="b">
        <f aca="false">TRUE()</f>
        <v>1</v>
      </c>
      <c r="L90" s="30" t="b">
        <f aca="false">IF('10 Assumptions'!$B$24="Yes",TRUE(),K90)</f>
        <v>1</v>
      </c>
      <c r="M90" s="18" t="n">
        <f aca="false">-(EXP(G90)-1)*D90</f>
        <v>-118.148367384416</v>
      </c>
      <c r="N90" s="18" t="n">
        <f aca="false">IF(L90,M90,0)</f>
        <v>-118.148367384416</v>
      </c>
      <c r="O90" s="31" t="n">
        <v>0</v>
      </c>
      <c r="P90" s="32" t="n">
        <f aca="false">-(EXP(O90)-1)*D90</f>
        <v>-0</v>
      </c>
      <c r="Q90" s="32" t="n">
        <f aca="false">ABS(F90-P90)</f>
        <v>153.764917842486</v>
      </c>
      <c r="R90" s="30" t="b">
        <f aca="false">TRUE()</f>
        <v>1</v>
      </c>
    </row>
    <row r="91" customFormat="false" ht="15" hidden="false" customHeight="false" outlineLevel="0" collapsed="false">
      <c r="A91" s="33" t="str">
        <f aca="false">'03 Optimization Events'!A91</f>
        <v>i-063</v>
      </c>
      <c r="B91" s="33" t="str">
        <f aca="false">'03 Optimization Events'!C91</f>
        <v>bu-datasci</v>
      </c>
      <c r="C91" s="33" t="str">
        <f aca="false">'03 Optimization Events'!D91</f>
        <v>tune_batch_size</v>
      </c>
      <c r="D91" s="34" t="n">
        <f aca="false">'03 Optimization Events'!I91</f>
        <v>1530.3876211545</v>
      </c>
      <c r="E91" s="27" t="n">
        <v>-0.64072950251274</v>
      </c>
      <c r="F91" s="22" t="n">
        <f aca="false">-(EXP(E91)-1)*D91</f>
        <v>724.014288660341</v>
      </c>
      <c r="G91" s="27" t="n">
        <v>-0.73480262973064</v>
      </c>
      <c r="H91" s="35" t="n">
        <f aca="false">EXP(-0.987582061808064)-1</f>
        <v>-0.62752377243187</v>
      </c>
      <c r="I91" s="35" t="n">
        <f aca="false">EXP(-0.482023197653216)-1</f>
        <v>-0.382467263711744</v>
      </c>
      <c r="J91" s="27" t="n">
        <v>0.024390243902439</v>
      </c>
      <c r="K91" s="36" t="b">
        <f aca="false">TRUE()</f>
        <v>1</v>
      </c>
      <c r="L91" s="36" t="b">
        <f aca="false">IF('10 Assumptions'!$B$24="Yes",TRUE(),K91)</f>
        <v>1</v>
      </c>
      <c r="M91" s="22" t="n">
        <f aca="false">-(EXP(G91)-1)*D91</f>
        <v>796.413552098649</v>
      </c>
      <c r="N91" s="22" t="n">
        <f aca="false">IF(L91,M91,0)</f>
        <v>796.413552098649</v>
      </c>
      <c r="O91" s="31" t="n">
        <v>-0.60875852457739</v>
      </c>
      <c r="P91" s="32" t="n">
        <f aca="false">-(EXP(O91)-1)*D91</f>
        <v>697.817202806196</v>
      </c>
      <c r="Q91" s="32" t="n">
        <f aca="false">ABS(F91-P91)</f>
        <v>26.1970858541457</v>
      </c>
      <c r="R91" s="36" t="b">
        <f aca="false">FALSE()</f>
        <v>0</v>
      </c>
    </row>
    <row r="92" customFormat="false" ht="15" hidden="false" customHeight="false" outlineLevel="0" collapsed="false">
      <c r="A92" s="15" t="str">
        <f aca="false">'03 Optimization Events'!A92</f>
        <v>i-072</v>
      </c>
      <c r="B92" s="15" t="str">
        <f aca="false">'03 Optimization Events'!C92</f>
        <v>bu-platform</v>
      </c>
      <c r="C92" s="15" t="str">
        <f aca="false">'03 Optimization Events'!D92</f>
        <v>cache_inference_results</v>
      </c>
      <c r="D92" s="8" t="n">
        <f aca="false">'03 Optimization Events'!I92</f>
        <v>18055.1267107058</v>
      </c>
      <c r="E92" s="25" t="n">
        <v>-0.874534622320105</v>
      </c>
      <c r="F92" s="18" t="n">
        <f aca="false">-(EXP(E92)-1)*D92</f>
        <v>10525.1266458534</v>
      </c>
      <c r="G92" s="25" t="n">
        <v>-0.965992112314263</v>
      </c>
      <c r="H92" s="29" t="n">
        <f aca="false">EXP(-1.2499528518974)-1</f>
        <v>-0.713481694663805</v>
      </c>
      <c r="I92" s="29" t="n">
        <f aca="false">EXP(-0.682031372731127)-1</f>
        <v>-0.494411091014026</v>
      </c>
      <c r="J92" s="25" t="n">
        <v>0.024390243902439</v>
      </c>
      <c r="K92" s="30" t="b">
        <f aca="false">TRUE()</f>
        <v>1</v>
      </c>
      <c r="L92" s="30" t="b">
        <f aca="false">IF('10 Assumptions'!$B$24="Yes",TRUE(),K92)</f>
        <v>1</v>
      </c>
      <c r="M92" s="18" t="n">
        <f aca="false">-(EXP(G92)-1)*D92</f>
        <v>11183.2478234967</v>
      </c>
      <c r="N92" s="18" t="n">
        <f aca="false">IF(L92,M92,0)</f>
        <v>11183.2478234967</v>
      </c>
      <c r="O92" s="31" t="n">
        <v>-0.741309910904442</v>
      </c>
      <c r="P92" s="32" t="n">
        <f aca="false">-(EXP(O92)-1)*D92</f>
        <v>9452.05115710065</v>
      </c>
      <c r="Q92" s="32" t="n">
        <f aca="false">ABS(F92-P92)</f>
        <v>1073.07548875276</v>
      </c>
      <c r="R92" s="30" t="b">
        <f aca="false">FALSE()</f>
        <v>0</v>
      </c>
    </row>
    <row r="93" customFormat="false" ht="15" hidden="false" customHeight="false" outlineLevel="0" collapsed="false">
      <c r="A93" s="33" t="str">
        <f aca="false">'03 Optimization Events'!A93</f>
        <v>i-020</v>
      </c>
      <c r="B93" s="33" t="str">
        <f aca="false">'03 Optimization Events'!C93</f>
        <v>bu-checkout</v>
      </c>
      <c r="C93" s="33" t="str">
        <f aca="false">'03 Optimization Events'!D93</f>
        <v>delete_orphaned_volume</v>
      </c>
      <c r="D93" s="34" t="n">
        <f aca="false">'03 Optimization Events'!I93</f>
        <v>90455.3812744001</v>
      </c>
      <c r="E93" s="27" t="n">
        <v>-1.16596308916067</v>
      </c>
      <c r="F93" s="22" t="n">
        <f aca="false">-(EXP(E93)-1)*D93</f>
        <v>62267.4585119065</v>
      </c>
      <c r="G93" s="27" t="n">
        <v>-1.04004286117913</v>
      </c>
      <c r="H93" s="35" t="n">
        <f aca="false">EXP(-1.25198284058982)-1</f>
        <v>-0.714062733633009</v>
      </c>
      <c r="I93" s="35" t="n">
        <f aca="false">EXP(-0.82810288176844)-1</f>
        <v>-0.563122691447832</v>
      </c>
      <c r="J93" s="27" t="n">
        <v>0.024390243902439</v>
      </c>
      <c r="K93" s="36" t="b">
        <f aca="false">TRUE()</f>
        <v>1</v>
      </c>
      <c r="L93" s="36" t="b">
        <f aca="false">IF('10 Assumptions'!$B$24="Yes",TRUE(),K93)</f>
        <v>1</v>
      </c>
      <c r="M93" s="22" t="n">
        <f aca="false">-(EXP(G93)-1)*D93</f>
        <v>58484.8735776206</v>
      </c>
      <c r="N93" s="22" t="n">
        <f aca="false">IF(L93,M93,0)</f>
        <v>58484.8735776206</v>
      </c>
      <c r="O93" s="31" t="n">
        <v>-1.09341606070127</v>
      </c>
      <c r="P93" s="32" t="n">
        <f aca="false">-(EXP(O93)-1)*D93</f>
        <v>60146.5041552613</v>
      </c>
      <c r="Q93" s="32" t="n">
        <f aca="false">ABS(F93-P93)</f>
        <v>2120.95435664523</v>
      </c>
      <c r="R93" s="36" t="b">
        <f aca="false">FALSE()</f>
        <v>0</v>
      </c>
    </row>
    <row r="94" customFormat="false" ht="15" hidden="false" customHeight="false" outlineLevel="0" collapsed="false">
      <c r="A94" s="15" t="str">
        <f aca="false">'03 Optimization Events'!A94</f>
        <v>i-032</v>
      </c>
      <c r="B94" s="15" t="str">
        <f aca="false">'03 Optimization Events'!C94</f>
        <v>bu-datalake</v>
      </c>
      <c r="C94" s="15" t="str">
        <f aca="false">'03 Optimization Events'!D94</f>
        <v>cache_inference_results</v>
      </c>
      <c r="D94" s="8" t="n">
        <f aca="false">'03 Optimization Events'!I94</f>
        <v>15192.2543424905</v>
      </c>
      <c r="E94" s="25" t="n">
        <v>-1.01584322534452</v>
      </c>
      <c r="F94" s="18" t="n">
        <f aca="false">-(EXP(E94)-1)*D94</f>
        <v>9691.18505144658</v>
      </c>
      <c r="G94" s="25" t="n">
        <v>-1.13754443518078</v>
      </c>
      <c r="H94" s="29" t="n">
        <f aca="false">EXP(-1.45229967091037)-1</f>
        <v>-0.765968526588483</v>
      </c>
      <c r="I94" s="29" t="n">
        <f aca="false">EXP(-0.822789199451188)-1</f>
        <v>-0.560795085616298</v>
      </c>
      <c r="J94" s="25" t="n">
        <v>0.024390243902439</v>
      </c>
      <c r="K94" s="30" t="b">
        <f aca="false">TRUE()</f>
        <v>1</v>
      </c>
      <c r="L94" s="30" t="b">
        <f aca="false">IF('10 Assumptions'!$B$24="Yes",TRUE(),K94)</f>
        <v>1</v>
      </c>
      <c r="M94" s="18" t="n">
        <f aca="false">-(EXP(G94)-1)*D94</f>
        <v>10321.5367293863</v>
      </c>
      <c r="N94" s="18" t="n">
        <f aca="false">IF(L94,M94,0)</f>
        <v>10321.5367293863</v>
      </c>
      <c r="O94" s="31" t="n">
        <v>-1.10665867382732</v>
      </c>
      <c r="P94" s="32" t="n">
        <f aca="false">-(EXP(O94)-1)*D94</f>
        <v>10168.7536417504</v>
      </c>
      <c r="Q94" s="32" t="n">
        <f aca="false">ABS(F94-P94)</f>
        <v>477.568590303841</v>
      </c>
      <c r="R94" s="30" t="b">
        <f aca="false">FALSE()</f>
        <v>0</v>
      </c>
    </row>
    <row r="95" customFormat="false" ht="15" hidden="false" customHeight="false" outlineLevel="0" collapsed="false">
      <c r="A95" s="33" t="str">
        <f aca="false">'03 Optimization Events'!A95</f>
        <v>i-103</v>
      </c>
      <c r="B95" s="33" t="str">
        <f aca="false">'03 Optimization Events'!C95</f>
        <v>bu-assist</v>
      </c>
      <c r="C95" s="33" t="str">
        <f aca="false">'03 Optimization Events'!D95</f>
        <v>consolidate_cluster</v>
      </c>
      <c r="D95" s="34" t="n">
        <f aca="false">'03 Optimization Events'!I95</f>
        <v>39578.2948585329</v>
      </c>
      <c r="E95" s="27" t="n">
        <v>0.609227918163872</v>
      </c>
      <c r="F95" s="22" t="n">
        <f aca="false">-(EXP(E95)-1)*D95</f>
        <v>-33206.6240959737</v>
      </c>
      <c r="G95" s="27" t="n">
        <v>0.441477929890868</v>
      </c>
      <c r="H95" s="35" t="n">
        <f aca="false">EXP(0.0729545177683959)-1</f>
        <v>0.0756816114019092</v>
      </c>
      <c r="I95" s="35" t="n">
        <f aca="false">EXP(0.810001342013339)-1</f>
        <v>1.247911003401</v>
      </c>
      <c r="J95" s="27" t="n">
        <v>0.0731707317073171</v>
      </c>
      <c r="K95" s="36" t="b">
        <f aca="false">FALSE()</f>
        <v>0</v>
      </c>
      <c r="L95" s="36" t="b">
        <f aca="false">IF('10 Assumptions'!$B$24="Yes",TRUE(),K95)</f>
        <v>0</v>
      </c>
      <c r="M95" s="22" t="n">
        <f aca="false">-(EXP(G95)-1)*D95</f>
        <v>-21966.1003841303</v>
      </c>
      <c r="N95" s="22" t="n">
        <f aca="false">IF(L95,M95,0)</f>
        <v>0</v>
      </c>
      <c r="O95" s="31" t="n">
        <v>0</v>
      </c>
      <c r="P95" s="32" t="n">
        <f aca="false">-(EXP(O95)-1)*D95</f>
        <v>-0</v>
      </c>
      <c r="Q95" s="32" t="n">
        <f aca="false">ABS(F95-P95)</f>
        <v>33206.6240959737</v>
      </c>
      <c r="R95" s="36" t="b">
        <f aca="false">TRUE()</f>
        <v>1</v>
      </c>
    </row>
    <row r="96" customFormat="false" ht="15" hidden="false" customHeight="false" outlineLevel="0" collapsed="false">
      <c r="A96" s="15" t="str">
        <f aca="false">'03 Optimization Events'!A96</f>
        <v>i-025</v>
      </c>
      <c r="B96" s="15" t="str">
        <f aca="false">'03 Optimization Events'!C96</f>
        <v>bu-checkout</v>
      </c>
      <c r="C96" s="15" t="str">
        <f aca="false">'03 Optimization Events'!D96</f>
        <v>schedule_shutdown</v>
      </c>
      <c r="D96" s="8" t="n">
        <f aca="false">'03 Optimization Events'!I96</f>
        <v>69145.0405528127</v>
      </c>
      <c r="E96" s="25" t="n">
        <v>-1.05316626037541</v>
      </c>
      <c r="F96" s="18" t="n">
        <f aca="false">-(EXP(E96)-1)*D96</f>
        <v>45025.0718322959</v>
      </c>
      <c r="G96" s="25" t="n">
        <v>-0.942526924593058</v>
      </c>
      <c r="H96" s="29" t="n">
        <f aca="false">EXP(-1.1915476615635)-1</f>
        <v>-0.696249203334428</v>
      </c>
      <c r="I96" s="29" t="n">
        <f aca="false">EXP(-0.693506187622614)-1</f>
        <v>-0.500179471313672</v>
      </c>
      <c r="J96" s="25" t="n">
        <v>0.024390243902439</v>
      </c>
      <c r="K96" s="30" t="b">
        <f aca="false">TRUE()</f>
        <v>1</v>
      </c>
      <c r="L96" s="30" t="b">
        <f aca="false">IF('10 Assumptions'!$B$24="Yes",TRUE(),K96)</f>
        <v>1</v>
      </c>
      <c r="M96" s="18" t="n">
        <f aca="false">-(EXP(G96)-1)*D96</f>
        <v>42203.229050874</v>
      </c>
      <c r="N96" s="18" t="n">
        <f aca="false">IF(L96,M96,0)</f>
        <v>42203.229050874</v>
      </c>
      <c r="O96" s="31" t="n">
        <v>-0.945299565875526</v>
      </c>
      <c r="P96" s="32" t="n">
        <f aca="false">-(EXP(O96)-1)*D96</f>
        <v>42277.8255671898</v>
      </c>
      <c r="Q96" s="32" t="n">
        <f aca="false">ABS(F96-P96)</f>
        <v>2747.24626510613</v>
      </c>
      <c r="R96" s="30" t="b">
        <f aca="false">FALSE()</f>
        <v>0</v>
      </c>
    </row>
    <row r="97" customFormat="false" ht="15" hidden="false" customHeight="false" outlineLevel="0" collapsed="false">
      <c r="A97" s="33" t="str">
        <f aca="false">'03 Optimization Events'!A97</f>
        <v>i-006</v>
      </c>
      <c r="B97" s="33" t="str">
        <f aca="false">'03 Optimization Events'!C97</f>
        <v>bu-assist</v>
      </c>
      <c r="C97" s="33" t="str">
        <f aca="false">'03 Optimization Events'!D97</f>
        <v>migrate_storage_class</v>
      </c>
      <c r="D97" s="34" t="n">
        <f aca="false">'03 Optimization Events'!I97</f>
        <v>360421.495096745</v>
      </c>
      <c r="E97" s="27" t="n">
        <v>-1.36008983632923</v>
      </c>
      <c r="F97" s="22" t="n">
        <f aca="false">-(EXP(E97)-1)*D97</f>
        <v>267923.744166123</v>
      </c>
      <c r="G97" s="27" t="n">
        <v>-1.44739823563991</v>
      </c>
      <c r="H97" s="35" t="n">
        <f aca="false">EXP(-1.65832533616731)-1</f>
        <v>-0.809542334254137</v>
      </c>
      <c r="I97" s="35" t="n">
        <f aca="false">EXP(-1.23647113511251)-1</f>
        <v>-0.709592780299383</v>
      </c>
      <c r="J97" s="27" t="n">
        <v>0.024390243902439</v>
      </c>
      <c r="K97" s="36" t="b">
        <f aca="false">TRUE()</f>
        <v>1</v>
      </c>
      <c r="L97" s="36" t="b">
        <f aca="false">IF('10 Assumptions'!$B$24="Yes",TRUE(),K97)</f>
        <v>1</v>
      </c>
      <c r="M97" s="22" t="n">
        <f aca="false">-(EXP(G97)-1)*D97</f>
        <v>275657.070742498</v>
      </c>
      <c r="N97" s="22" t="n">
        <f aca="false">IF(L97,M97,0)</f>
        <v>275657.070742498</v>
      </c>
      <c r="O97" s="31" t="n">
        <v>-1.23004489261086</v>
      </c>
      <c r="P97" s="32" t="n">
        <f aca="false">-(EXP(O97)-1)*D97</f>
        <v>255077.696507639</v>
      </c>
      <c r="Q97" s="32" t="n">
        <f aca="false">ABS(F97-P97)</f>
        <v>12846.0476584844</v>
      </c>
      <c r="R97" s="36" t="b">
        <f aca="false">FALSE()</f>
        <v>0</v>
      </c>
    </row>
    <row r="98" customFormat="false" ht="15" hidden="false" customHeight="false" outlineLevel="0" collapsed="false">
      <c r="A98" s="15" t="str">
        <f aca="false">'03 Optimization Events'!A98</f>
        <v>i-007</v>
      </c>
      <c r="B98" s="15" t="str">
        <f aca="false">'03 Optimization Events'!C98</f>
        <v>bu-datasci</v>
      </c>
      <c r="C98" s="15" t="str">
        <f aca="false">'03 Optimization Events'!D98</f>
        <v>cache_inference_results</v>
      </c>
      <c r="D98" s="8" t="n">
        <f aca="false">'03 Optimization Events'!I98</f>
        <v>22136.4862694944</v>
      </c>
      <c r="E98" s="25" t="n">
        <v>-1.06380036538522</v>
      </c>
      <c r="F98" s="18" t="n">
        <f aca="false">-(EXP(E98)-1)*D98</f>
        <v>14496.2628646802</v>
      </c>
      <c r="G98" s="25" t="n">
        <v>-1.18421651463678</v>
      </c>
      <c r="H98" s="29" t="n">
        <f aca="false">EXP(-1.45666627160088)-1</f>
        <v>-0.766988220663232</v>
      </c>
      <c r="I98" s="29" t="n">
        <f aca="false">EXP(-0.911766757672679)-1</f>
        <v>-0.598186310871293</v>
      </c>
      <c r="J98" s="25" t="n">
        <v>0.024390243902439</v>
      </c>
      <c r="K98" s="30" t="b">
        <f aca="false">TRUE()</f>
        <v>1</v>
      </c>
      <c r="L98" s="30" t="b">
        <f aca="false">IF('10 Assumptions'!$B$24="Yes",TRUE(),K98)</f>
        <v>1</v>
      </c>
      <c r="M98" s="18" t="n">
        <f aca="false">-(EXP(G98)-1)*D98</f>
        <v>15363.0353438083</v>
      </c>
      <c r="N98" s="18" t="n">
        <f aca="false">IF(L98,M98,0)</f>
        <v>15363.0353438083</v>
      </c>
      <c r="O98" s="31" t="n">
        <v>-1.20568259529727</v>
      </c>
      <c r="P98" s="32" t="n">
        <f aca="false">-(EXP(O98)-1)*D98</f>
        <v>15506.8853164629</v>
      </c>
      <c r="Q98" s="32" t="n">
        <f aca="false">ABS(F98-P98)</f>
        <v>1010.62245178266</v>
      </c>
      <c r="R98" s="30" t="b">
        <f aca="false">FALSE()</f>
        <v>0</v>
      </c>
    </row>
    <row r="99" customFormat="false" ht="15" hidden="false" customHeight="false" outlineLevel="0" collapsed="false">
      <c r="A99" s="33" t="str">
        <f aca="false">'03 Optimization Events'!A99</f>
        <v>i-024</v>
      </c>
      <c r="B99" s="33" t="str">
        <f aca="false">'03 Optimization Events'!C99</f>
        <v>bu-datalake</v>
      </c>
      <c r="C99" s="33" t="str">
        <f aca="false">'03 Optimization Events'!D99</f>
        <v>delete_orphaned_volume</v>
      </c>
      <c r="D99" s="34" t="n">
        <f aca="false">'03 Optimization Events'!I99</f>
        <v>62329.6698484302</v>
      </c>
      <c r="E99" s="27" t="n">
        <v>-0.640479494266939</v>
      </c>
      <c r="F99" s="22" t="n">
        <f aca="false">-(EXP(E99)-1)*D99</f>
        <v>29479.4624073616</v>
      </c>
      <c r="G99" s="27" t="n">
        <v>-0.796119982360856</v>
      </c>
      <c r="H99" s="35" t="n">
        <f aca="false">EXP(-1.06671440865689)-1</f>
        <v>-0.655862643329108</v>
      </c>
      <c r="I99" s="35" t="n">
        <f aca="false">EXP(-0.52552555606482)-1</f>
        <v>-0.408755449460405</v>
      </c>
      <c r="J99" s="27" t="n">
        <v>0.024390243902439</v>
      </c>
      <c r="K99" s="36" t="b">
        <f aca="false">TRUE()</f>
        <v>1</v>
      </c>
      <c r="L99" s="36" t="b">
        <f aca="false">IF('10 Assumptions'!$B$24="Yes",TRUE(),K99)</f>
        <v>1</v>
      </c>
      <c r="M99" s="22" t="n">
        <f aca="false">-(EXP(G99)-1)*D99</f>
        <v>34214.2669612707</v>
      </c>
      <c r="N99" s="22" t="n">
        <f aca="false">IF(L99,M99,0)</f>
        <v>34214.2669612707</v>
      </c>
      <c r="O99" s="31" t="n">
        <v>-0.943408556199774</v>
      </c>
      <c r="P99" s="32" t="n">
        <f aca="false">-(EXP(O99)-1)*D99</f>
        <v>38064.8150760279</v>
      </c>
      <c r="Q99" s="32" t="n">
        <f aca="false">ABS(F99-P99)</f>
        <v>8585.35266866633</v>
      </c>
      <c r="R99" s="36" t="b">
        <f aca="false">FALSE()</f>
        <v>0</v>
      </c>
    </row>
    <row r="100" customFormat="false" ht="15" hidden="false" customHeight="false" outlineLevel="0" collapsed="false">
      <c r="A100" s="15" t="str">
        <f aca="false">'03 Optimization Events'!A100</f>
        <v>i-107</v>
      </c>
      <c r="B100" s="15" t="str">
        <f aca="false">'03 Optimization Events'!C100</f>
        <v>bu-platform</v>
      </c>
      <c r="C100" s="15" t="str">
        <f aca="false">'03 Optimization Events'!D100</f>
        <v>enable_autoscaling</v>
      </c>
      <c r="D100" s="8" t="n">
        <f aca="false">'03 Optimization Events'!I100</f>
        <v>2242.97707846244</v>
      </c>
      <c r="E100" s="25" t="n">
        <v>0.121231012562838</v>
      </c>
      <c r="F100" s="18" t="n">
        <f aca="false">-(EXP(E100)-1)*D100</f>
        <v>-289.087601351251</v>
      </c>
      <c r="G100" s="25" t="n">
        <v>0.0656949696178002</v>
      </c>
      <c r="H100" s="29" t="n">
        <f aca="false">EXP(-0.182676106469926)-1</f>
        <v>-0.166962072358885</v>
      </c>
      <c r="I100" s="29" t="n">
        <f aca="false">EXP(0.314066045705526)-1</f>
        <v>0.368980148821451</v>
      </c>
      <c r="J100" s="25" t="n">
        <v>0.536585365853659</v>
      </c>
      <c r="K100" s="30" t="b">
        <f aca="false">TRUE()</f>
        <v>1</v>
      </c>
      <c r="L100" s="30" t="b">
        <f aca="false">IF('10 Assumptions'!$B$24="Yes",TRUE(),K100)</f>
        <v>1</v>
      </c>
      <c r="M100" s="18" t="n">
        <f aca="false">-(EXP(G100)-1)*D100</f>
        <v>-152.300218948696</v>
      </c>
      <c r="N100" s="18" t="n">
        <f aca="false">IF(L100,M100,0)</f>
        <v>-152.300218948696</v>
      </c>
      <c r="O100" s="31" t="n">
        <v>0</v>
      </c>
      <c r="P100" s="32" t="n">
        <f aca="false">-(EXP(O100)-1)*D100</f>
        <v>-0</v>
      </c>
      <c r="Q100" s="32" t="n">
        <f aca="false">ABS(F100-P100)</f>
        <v>289.087601351251</v>
      </c>
      <c r="R100" s="30" t="b">
        <f aca="false">TRUE()</f>
        <v>1</v>
      </c>
    </row>
    <row r="101" customFormat="false" ht="15" hidden="false" customHeight="false" outlineLevel="0" collapsed="false">
      <c r="A101" s="33" t="str">
        <f aca="false">'03 Optimization Events'!A101</f>
        <v>i-095</v>
      </c>
      <c r="B101" s="33" t="str">
        <f aca="false">'03 Optimization Events'!C101</f>
        <v>bu-assist</v>
      </c>
      <c r="C101" s="33" t="str">
        <f aca="false">'03 Optimization Events'!D101</f>
        <v>consolidate_cluster</v>
      </c>
      <c r="D101" s="34" t="n">
        <f aca="false">'03 Optimization Events'!I101</f>
        <v>42519.1641900496</v>
      </c>
      <c r="E101" s="27" t="n">
        <v>0.915514839271435</v>
      </c>
      <c r="F101" s="22" t="n">
        <f aca="false">-(EXP(E101)-1)*D101</f>
        <v>-63696.3025105456</v>
      </c>
      <c r="G101" s="27" t="n">
        <v>0.773532043207681</v>
      </c>
      <c r="H101" s="35" t="n">
        <f aca="false">EXP(0.343838981915177)-1</f>
        <v>0.410351525122227</v>
      </c>
      <c r="I101" s="35" t="n">
        <f aca="false">EXP(1.20322510450019)-1</f>
        <v>2.33084193210703</v>
      </c>
      <c r="J101" s="27" t="n">
        <v>0.024390243902439</v>
      </c>
      <c r="K101" s="36" t="b">
        <f aca="false">FALSE()</f>
        <v>0</v>
      </c>
      <c r="L101" s="36" t="b">
        <f aca="false">IF('10 Assumptions'!$B$24="Yes",TRUE(),K101)</f>
        <v>0</v>
      </c>
      <c r="M101" s="22" t="n">
        <f aca="false">-(EXP(G101)-1)*D101</f>
        <v>-49637.2179258432</v>
      </c>
      <c r="N101" s="22" t="n">
        <f aca="false">IF(L101,M101,0)</f>
        <v>0</v>
      </c>
      <c r="O101" s="31" t="n">
        <v>0</v>
      </c>
      <c r="P101" s="32" t="n">
        <f aca="false">-(EXP(O101)-1)*D101</f>
        <v>-0</v>
      </c>
      <c r="Q101" s="32" t="n">
        <f aca="false">ABS(F101-P101)</f>
        <v>63696.3025105456</v>
      </c>
      <c r="R101" s="36" t="b">
        <f aca="false">TRUE()</f>
        <v>1</v>
      </c>
    </row>
    <row r="102" customFormat="false" ht="15" hidden="false" customHeight="false" outlineLevel="0" collapsed="false">
      <c r="A102" s="15" t="str">
        <f aca="false">'03 Optimization Events'!A102</f>
        <v>i-073</v>
      </c>
      <c r="B102" s="15" t="str">
        <f aca="false">'03 Optimization Events'!C102</f>
        <v>bu-search</v>
      </c>
      <c r="C102" s="15" t="str">
        <f aca="false">'03 Optimization Events'!D102</f>
        <v>consolidate_cluster</v>
      </c>
      <c r="D102" s="8" t="n">
        <f aca="false">'03 Optimization Events'!I102</f>
        <v>12133.1674973373</v>
      </c>
      <c r="E102" s="25" t="n">
        <v>-0.305714743355511</v>
      </c>
      <c r="F102" s="18" t="n">
        <f aca="false">-(EXP(E102)-1)*D102</f>
        <v>3195.91625396137</v>
      </c>
      <c r="G102" s="25" t="n">
        <v>-0.306026768063525</v>
      </c>
      <c r="H102" s="29" t="n">
        <f aca="false">EXP(-0.528249185934734)-1</f>
        <v>-0.410363589795033</v>
      </c>
      <c r="I102" s="29" t="n">
        <f aca="false">EXP(-0.0838043501923169)-1</f>
        <v>-0.0803888397579105</v>
      </c>
      <c r="J102" s="25" t="n">
        <v>0.0487804878048781</v>
      </c>
      <c r="K102" s="30" t="b">
        <f aca="false">TRUE()</f>
        <v>1</v>
      </c>
      <c r="L102" s="30" t="b">
        <f aca="false">IF('10 Assumptions'!$B$24="Yes",TRUE(),K102)</f>
        <v>1</v>
      </c>
      <c r="M102" s="18" t="n">
        <f aca="false">-(EXP(G102)-1)*D102</f>
        <v>3198.70446215349</v>
      </c>
      <c r="N102" s="18" t="n">
        <f aca="false">IF(L102,M102,0)</f>
        <v>3198.70446215349</v>
      </c>
      <c r="O102" s="31" t="n">
        <v>-0.408027605539646</v>
      </c>
      <c r="P102" s="32" t="n">
        <f aca="false">-(EXP(O102)-1)*D102</f>
        <v>4065.09010509809</v>
      </c>
      <c r="Q102" s="32" t="n">
        <f aca="false">ABS(F102-P102)</f>
        <v>869.173851136723</v>
      </c>
      <c r="R102" s="30" t="b">
        <f aca="false">FALSE()</f>
        <v>0</v>
      </c>
    </row>
    <row r="103" customFormat="false" ht="15" hidden="false" customHeight="false" outlineLevel="0" collapsed="false">
      <c r="A103" s="33" t="str">
        <f aca="false">'03 Optimization Events'!A103</f>
        <v>i-069</v>
      </c>
      <c r="B103" s="33" t="str">
        <f aca="false">'03 Optimization Events'!C103</f>
        <v>bu-checkout</v>
      </c>
      <c r="C103" s="33" t="str">
        <f aca="false">'03 Optimization Events'!D103</f>
        <v>migrate_storage_class</v>
      </c>
      <c r="D103" s="34" t="n">
        <f aca="false">'03 Optimization Events'!I103</f>
        <v>14480.7663104993</v>
      </c>
      <c r="E103" s="27" t="n">
        <v>-0.441498445414136</v>
      </c>
      <c r="F103" s="22" t="n">
        <f aca="false">-(EXP(E103)-1)*D103</f>
        <v>5168.58964947625</v>
      </c>
      <c r="G103" s="27" t="n">
        <v>-0.485557211266687</v>
      </c>
      <c r="H103" s="35" t="n">
        <f aca="false">EXP(-0.723876804839424)-1</f>
        <v>-0.51513113441419</v>
      </c>
      <c r="I103" s="35" t="n">
        <f aca="false">EXP(-0.247237617693951)-1</f>
        <v>-0.21904489726817</v>
      </c>
      <c r="J103" s="27" t="n">
        <v>0.024390243902439</v>
      </c>
      <c r="K103" s="36" t="b">
        <f aca="false">TRUE()</f>
        <v>1</v>
      </c>
      <c r="L103" s="36" t="b">
        <f aca="false">IF('10 Assumptions'!$B$24="Yes",TRUE(),K103)</f>
        <v>1</v>
      </c>
      <c r="M103" s="22" t="n">
        <f aca="false">-(EXP(G103)-1)*D103</f>
        <v>5569.9656682285</v>
      </c>
      <c r="N103" s="22" t="n">
        <f aca="false">IF(L103,M103,0)</f>
        <v>5569.9656682285</v>
      </c>
      <c r="O103" s="31" t="n">
        <v>-0.631599666084561</v>
      </c>
      <c r="P103" s="32" t="n">
        <f aca="false">-(EXP(O103)-1)*D103</f>
        <v>6780.75620340444</v>
      </c>
      <c r="Q103" s="32" t="n">
        <f aca="false">ABS(F103-P103)</f>
        <v>1612.16655392819</v>
      </c>
      <c r="R103" s="36" t="b">
        <f aca="false">FALSE()</f>
        <v>0</v>
      </c>
    </row>
    <row r="104" customFormat="false" ht="15" hidden="false" customHeight="false" outlineLevel="0" collapsed="false">
      <c r="A104" s="15" t="str">
        <f aca="false">'03 Optimization Events'!A104</f>
        <v>i-008</v>
      </c>
      <c r="B104" s="15" t="str">
        <f aca="false">'03 Optimization Events'!C104</f>
        <v>bu-checkout</v>
      </c>
      <c r="C104" s="15" t="str">
        <f aca="false">'03 Optimization Events'!D104</f>
        <v>migrate_storage_class</v>
      </c>
      <c r="D104" s="8" t="n">
        <f aca="false">'03 Optimization Events'!I104</f>
        <v>21594.4698042295</v>
      </c>
      <c r="E104" s="25" t="n">
        <v>-1.16260870511834</v>
      </c>
      <c r="F104" s="18" t="n">
        <f aca="false">-(EXP(E104)-1)*D104</f>
        <v>14842.5387288642</v>
      </c>
      <c r="G104" s="25" t="n">
        <v>-1.15198441344772</v>
      </c>
      <c r="H104" s="29" t="n">
        <f aca="false">EXP(-1.38484145592337)-1</f>
        <v>-0.749636509706343</v>
      </c>
      <c r="I104" s="29" t="n">
        <f aca="false">EXP(-0.919127370972066)-1</f>
        <v>-0.601133047855483</v>
      </c>
      <c r="J104" s="25" t="n">
        <v>0.024390243902439</v>
      </c>
      <c r="K104" s="30" t="b">
        <f aca="false">TRUE()</f>
        <v>1</v>
      </c>
      <c r="L104" s="30" t="b">
        <f aca="false">IF('10 Assumptions'!$B$24="Yes",TRUE(),K104)</f>
        <v>1</v>
      </c>
      <c r="M104" s="18" t="n">
        <f aca="false">-(EXP(G104)-1)*D104</f>
        <v>14770.4218266296</v>
      </c>
      <c r="N104" s="18" t="n">
        <f aca="false">IF(L104,M104,0)</f>
        <v>14770.4218266296</v>
      </c>
      <c r="O104" s="31" t="n">
        <v>-1.05826599961482</v>
      </c>
      <c r="P104" s="32" t="n">
        <f aca="false">-(EXP(O104)-1)*D104</f>
        <v>14099.9560403865</v>
      </c>
      <c r="Q104" s="32" t="n">
        <f aca="false">ABS(F104-P104)</f>
        <v>742.582688477749</v>
      </c>
      <c r="R104" s="30" t="b">
        <f aca="false">FALSE()</f>
        <v>0</v>
      </c>
    </row>
    <row r="105" customFormat="false" ht="15" hidden="false" customHeight="false" outlineLevel="0" collapsed="false">
      <c r="A105" s="33" t="str">
        <f aca="false">'03 Optimization Events'!A105</f>
        <v>i-060</v>
      </c>
      <c r="B105" s="33" t="str">
        <f aca="false">'03 Optimization Events'!C105</f>
        <v>bu-assist</v>
      </c>
      <c r="C105" s="33" t="str">
        <f aca="false">'03 Optimization Events'!D105</f>
        <v>tune_batch_size</v>
      </c>
      <c r="D105" s="34" t="n">
        <f aca="false">'03 Optimization Events'!I105</f>
        <v>28765.0368647966</v>
      </c>
      <c r="E105" s="27" t="n">
        <v>-0.732480307035308</v>
      </c>
      <c r="F105" s="22" t="n">
        <f aca="false">-(EXP(E105)-1)*D105</f>
        <v>14937.2467334579</v>
      </c>
      <c r="G105" s="27" t="n">
        <v>-0.881534994912089</v>
      </c>
      <c r="H105" s="35" t="n">
        <f aca="false">EXP(-1.2672340940756)-1</f>
        <v>-0.718390549170074</v>
      </c>
      <c r="I105" s="35" t="n">
        <f aca="false">EXP(-0.49583589574858)-1</f>
        <v>-0.390938417532672</v>
      </c>
      <c r="J105" s="27" t="n">
        <v>0.024390243902439</v>
      </c>
      <c r="K105" s="36" t="b">
        <f aca="false">TRUE()</f>
        <v>1</v>
      </c>
      <c r="L105" s="36" t="b">
        <f aca="false">IF('10 Assumptions'!$B$24="Yes",TRUE(),K105)</f>
        <v>1</v>
      </c>
      <c r="M105" s="22" t="n">
        <f aca="false">-(EXP(G105)-1)*D105</f>
        <v>16852.0914718351</v>
      </c>
      <c r="N105" s="22" t="n">
        <f aca="false">IF(L105,M105,0)</f>
        <v>16852.0914718351</v>
      </c>
      <c r="O105" s="31" t="n">
        <v>-0.904548447047127</v>
      </c>
      <c r="P105" s="32" t="n">
        <f aca="false">-(EXP(O105)-1)*D105</f>
        <v>17123.1188707219</v>
      </c>
      <c r="Q105" s="32" t="n">
        <f aca="false">ABS(F105-P105)</f>
        <v>2185.87213726398</v>
      </c>
      <c r="R105" s="36" t="b">
        <f aca="false">FALSE()</f>
        <v>0</v>
      </c>
    </row>
    <row r="106" customFormat="false" ht="15" hidden="false" customHeight="false" outlineLevel="0" collapsed="false">
      <c r="A106" s="15" t="str">
        <f aca="false">'03 Optimization Events'!A106</f>
        <v>i-105</v>
      </c>
      <c r="B106" s="15" t="str">
        <f aca="false">'03 Optimization Events'!C106</f>
        <v>bu-platform</v>
      </c>
      <c r="C106" s="15" t="str">
        <f aca="false">'03 Optimization Events'!D106</f>
        <v>cache_inference_results</v>
      </c>
      <c r="D106" s="8" t="n">
        <f aca="false">'03 Optimization Events'!I106</f>
        <v>20189.8314849405</v>
      </c>
      <c r="E106" s="25" t="n">
        <v>0.0587970705202019</v>
      </c>
      <c r="F106" s="18" t="n">
        <f aca="false">-(EXP(E106)-1)*D106</f>
        <v>-1222.69619497948</v>
      </c>
      <c r="G106" s="25" t="n">
        <v>0.0345736473435402</v>
      </c>
      <c r="H106" s="29" t="n">
        <f aca="false">EXP(-0.309600379676682)-1</f>
        <v>-0.266259884893705</v>
      </c>
      <c r="I106" s="29" t="n">
        <f aca="false">EXP(0.378747674363762)-1</f>
        <v>0.460454479141602</v>
      </c>
      <c r="J106" s="25" t="n">
        <v>0.902439024390244</v>
      </c>
      <c r="K106" s="30" t="b">
        <f aca="false">TRUE()</f>
        <v>1</v>
      </c>
      <c r="L106" s="30" t="b">
        <f aca="false">IF('10 Assumptions'!$B$24="Yes",TRUE(),K106)</f>
        <v>1</v>
      </c>
      <c r="M106" s="18" t="n">
        <f aca="false">-(EXP(G106)-1)*D106</f>
        <v>-710.243215995973</v>
      </c>
      <c r="N106" s="18" t="n">
        <f aca="false">IF(L106,M106,0)</f>
        <v>-710.243215995973</v>
      </c>
      <c r="O106" s="31" t="n">
        <v>0</v>
      </c>
      <c r="P106" s="32" t="n">
        <f aca="false">-(EXP(O106)-1)*D106</f>
        <v>-0</v>
      </c>
      <c r="Q106" s="32" t="n">
        <f aca="false">ABS(F106-P106)</f>
        <v>1222.69619497948</v>
      </c>
      <c r="R106" s="30" t="b">
        <f aca="false">TRUE()</f>
        <v>1</v>
      </c>
    </row>
    <row r="107" customFormat="false" ht="15" hidden="false" customHeight="false" outlineLevel="0" collapsed="false">
      <c r="A107" s="33" t="str">
        <f aca="false">'03 Optimization Events'!A107</f>
        <v>i-101</v>
      </c>
      <c r="B107" s="33" t="str">
        <f aca="false">'03 Optimization Events'!C107</f>
        <v>bu-assist</v>
      </c>
      <c r="C107" s="33" t="str">
        <f aca="false">'03 Optimization Events'!D107</f>
        <v>delete_orphaned_volume</v>
      </c>
      <c r="D107" s="34" t="n">
        <f aca="false">'03 Optimization Events'!I107</f>
        <v>108357.590894878</v>
      </c>
      <c r="E107" s="27" t="n">
        <v>0.185119682282129</v>
      </c>
      <c r="F107" s="22" t="n">
        <f aca="false">-(EXP(E107)-1)*D107</f>
        <v>-22035.8654502514</v>
      </c>
      <c r="G107" s="27" t="n">
        <v>0.0726492683563387</v>
      </c>
      <c r="H107" s="35" t="n">
        <f aca="false">EXP(-0.166784881356125)-1</f>
        <v>-0.15361833576919</v>
      </c>
      <c r="I107" s="35" t="n">
        <f aca="false">EXP(0.312083418068803)-1</f>
        <v>0.366268659769035</v>
      </c>
      <c r="J107" s="27" t="n">
        <v>0.609756097560976</v>
      </c>
      <c r="K107" s="36" t="b">
        <f aca="false">TRUE()</f>
        <v>1</v>
      </c>
      <c r="L107" s="36" t="b">
        <f aca="false">IF('10 Assumptions'!$B$24="Yes",TRUE(),K107)</f>
        <v>1</v>
      </c>
      <c r="M107" s="22" t="n">
        <f aca="false">-(EXP(G107)-1)*D107</f>
        <v>-8165.10317351572</v>
      </c>
      <c r="N107" s="22" t="n">
        <f aca="false">IF(L107,M107,0)</f>
        <v>-8165.10317351572</v>
      </c>
      <c r="O107" s="31" t="n">
        <v>0</v>
      </c>
      <c r="P107" s="32" t="n">
        <f aca="false">-(EXP(O107)-1)*D107</f>
        <v>-0</v>
      </c>
      <c r="Q107" s="32" t="n">
        <f aca="false">ABS(F107-P107)</f>
        <v>22035.8654502514</v>
      </c>
      <c r="R107" s="36" t="b">
        <f aca="false">TRUE()</f>
        <v>1</v>
      </c>
    </row>
    <row r="108" customFormat="false" ht="15" hidden="false" customHeight="false" outlineLevel="0" collapsed="false">
      <c r="A108" s="15" t="str">
        <f aca="false">'03 Optimization Events'!A108</f>
        <v>i-115</v>
      </c>
      <c r="B108" s="15" t="str">
        <f aca="false">'03 Optimization Events'!C108</f>
        <v>bu-assist</v>
      </c>
      <c r="C108" s="15" t="str">
        <f aca="false">'03 Optimization Events'!D108</f>
        <v>delete_orphaned_volume</v>
      </c>
      <c r="D108" s="8" t="n">
        <f aca="false">'03 Optimization Events'!I108</f>
        <v>14576.2623449976</v>
      </c>
      <c r="E108" s="25" t="n">
        <v>0.307140974662329</v>
      </c>
      <c r="F108" s="18" t="n">
        <f aca="false">-(EXP(E108)-1)*D108</f>
        <v>-5240.64170636974</v>
      </c>
      <c r="G108" s="25" t="n">
        <v>0.114755974143122</v>
      </c>
      <c r="H108" s="29" t="n">
        <f aca="false">EXP(-0.259646256424853)-1</f>
        <v>-0.228675611403576</v>
      </c>
      <c r="I108" s="29" t="n">
        <f aca="false">EXP(0.489158204711097)-1</f>
        <v>0.630942722034567</v>
      </c>
      <c r="J108" s="25" t="n">
        <v>0.365853658536585</v>
      </c>
      <c r="K108" s="30" t="b">
        <f aca="false">TRUE()</f>
        <v>1</v>
      </c>
      <c r="L108" s="30" t="b">
        <f aca="false">IF('10 Assumptions'!$B$24="Yes",TRUE(),K108)</f>
        <v>1</v>
      </c>
      <c r="M108" s="18" t="n">
        <f aca="false">-(EXP(G108)-1)*D108</f>
        <v>-1772.4691988996</v>
      </c>
      <c r="N108" s="18" t="n">
        <f aca="false">IF(L108,M108,0)</f>
        <v>-1772.4691988996</v>
      </c>
      <c r="O108" s="31" t="n">
        <v>0</v>
      </c>
      <c r="P108" s="32" t="n">
        <f aca="false">-(EXP(O108)-1)*D108</f>
        <v>-0</v>
      </c>
      <c r="Q108" s="32" t="n">
        <f aca="false">ABS(F108-P108)</f>
        <v>5240.64170636974</v>
      </c>
      <c r="R108" s="30" t="b">
        <f aca="false">TRUE()</f>
        <v>1</v>
      </c>
    </row>
    <row r="109" customFormat="false" ht="15" hidden="false" customHeight="false" outlineLevel="0" collapsed="false">
      <c r="A109" s="33" t="str">
        <f aca="false">'03 Optimization Events'!A109</f>
        <v>i-062</v>
      </c>
      <c r="B109" s="33" t="str">
        <f aca="false">'03 Optimization Events'!C109</f>
        <v>bu-assist</v>
      </c>
      <c r="C109" s="33" t="str">
        <f aca="false">'03 Optimization Events'!D109</f>
        <v>schedule_shutdown</v>
      </c>
      <c r="D109" s="34" t="n">
        <f aca="false">'03 Optimization Events'!I109</f>
        <v>30824.3678657504</v>
      </c>
      <c r="E109" s="27" t="n">
        <v>-0.86903382182862</v>
      </c>
      <c r="F109" s="22" t="n">
        <f aca="false">-(EXP(E109)-1)*D109</f>
        <v>17897.9680199057</v>
      </c>
      <c r="G109" s="27" t="n">
        <v>-0.976503742023071</v>
      </c>
      <c r="H109" s="35" t="n">
        <f aca="false">EXP(-1.20674261793435)-1</f>
        <v>-0.700829794364158</v>
      </c>
      <c r="I109" s="35" t="n">
        <f aca="false">EXP(-0.746264866111788)-1</f>
        <v>-0.525865795787803</v>
      </c>
      <c r="J109" s="27" t="n">
        <v>0.024390243902439</v>
      </c>
      <c r="K109" s="36" t="b">
        <f aca="false">TRUE()</f>
        <v>1</v>
      </c>
      <c r="L109" s="36" t="b">
        <f aca="false">IF('10 Assumptions'!$B$24="Yes",TRUE(),K109)</f>
        <v>1</v>
      </c>
      <c r="M109" s="22" t="n">
        <f aca="false">-(EXP(G109)-1)*D109</f>
        <v>19215.1224457927</v>
      </c>
      <c r="N109" s="22" t="n">
        <f aca="false">IF(L109,M109,0)</f>
        <v>19215.1224457927</v>
      </c>
      <c r="O109" s="31" t="n">
        <v>-0.905802919479894</v>
      </c>
      <c r="P109" s="32" t="n">
        <f aca="false">-(EXP(O109)-1)*D109</f>
        <v>18364.6281672948</v>
      </c>
      <c r="Q109" s="32" t="n">
        <f aca="false">ABS(F109-P109)</f>
        <v>466.660147389117</v>
      </c>
      <c r="R109" s="36" t="b">
        <f aca="false">FALSE()</f>
        <v>0</v>
      </c>
    </row>
    <row r="110" customFormat="false" ht="15" hidden="false" customHeight="false" outlineLevel="0" collapsed="false">
      <c r="A110" s="15" t="str">
        <f aca="false">'03 Optimization Events'!A110</f>
        <v>i-083</v>
      </c>
      <c r="B110" s="15" t="str">
        <f aca="false">'03 Optimization Events'!C110</f>
        <v>bu-search</v>
      </c>
      <c r="C110" s="15" t="str">
        <f aca="false">'03 Optimization Events'!D110</f>
        <v>schedule_shutdown</v>
      </c>
      <c r="D110" s="8" t="n">
        <f aca="false">'03 Optimization Events'!I110</f>
        <v>44072.1076574859</v>
      </c>
      <c r="E110" s="25" t="n">
        <v>-0.437753926746329</v>
      </c>
      <c r="F110" s="18" t="n">
        <f aca="false">-(EXP(E110)-1)*D110</f>
        <v>15624.2408833284</v>
      </c>
      <c r="G110" s="25" t="n">
        <v>-0.524314320034891</v>
      </c>
      <c r="H110" s="29" t="n">
        <f aca="false">EXP(-0.745995344743948)-1</f>
        <v>-0.525737989266023</v>
      </c>
      <c r="I110" s="29" t="n">
        <f aca="false">EXP(-0.302633295325834)-1</f>
        <v>-0.261130006221906</v>
      </c>
      <c r="J110" s="25" t="n">
        <v>0.024390243902439</v>
      </c>
      <c r="K110" s="30" t="b">
        <f aca="false">TRUE()</f>
        <v>1</v>
      </c>
      <c r="L110" s="30" t="b">
        <f aca="false">IF('10 Assumptions'!$B$24="Yes",TRUE(),K110)</f>
        <v>1</v>
      </c>
      <c r="M110" s="18" t="n">
        <f aca="false">-(EXP(G110)-1)*D110</f>
        <v>17983.1333983442</v>
      </c>
      <c r="N110" s="18" t="n">
        <f aca="false">IF(L110,M110,0)</f>
        <v>17983.1333983442</v>
      </c>
      <c r="O110" s="31" t="n">
        <v>-0.58252718719692</v>
      </c>
      <c r="P110" s="32" t="n">
        <f aca="false">-(EXP(O110)-1)*D110</f>
        <v>19458.4884581241</v>
      </c>
      <c r="Q110" s="32" t="n">
        <f aca="false">ABS(F110-P110)</f>
        <v>3834.24757479573</v>
      </c>
      <c r="R110" s="30" t="b">
        <f aca="false">FALSE()</f>
        <v>0</v>
      </c>
    </row>
    <row r="111" customFormat="false" ht="15" hidden="false" customHeight="false" outlineLevel="0" collapsed="false">
      <c r="A111" s="33" t="str">
        <f aca="false">'03 Optimization Events'!A111</f>
        <v>i-066</v>
      </c>
      <c r="B111" s="33" t="str">
        <f aca="false">'03 Optimization Events'!C111</f>
        <v>bu-search</v>
      </c>
      <c r="C111" s="33" t="str">
        <f aca="false">'03 Optimization Events'!D111</f>
        <v>tune_batch_size</v>
      </c>
      <c r="D111" s="34" t="n">
        <f aca="false">'03 Optimization Events'!I111</f>
        <v>43845.3729629494</v>
      </c>
      <c r="E111" s="27" t="n">
        <v>-0.546292358603608</v>
      </c>
      <c r="F111" s="22" t="n">
        <f aca="false">-(EXP(E111)-1)*D111</f>
        <v>18454.8286140152</v>
      </c>
      <c r="G111" s="27" t="n">
        <v>-0.61124194784255</v>
      </c>
      <c r="H111" s="35" t="n">
        <f aca="false">EXP(-0.884355752210422)-1</f>
        <v>-0.587019850859107</v>
      </c>
      <c r="I111" s="35" t="n">
        <f aca="false">EXP(-0.338128143474678)-1</f>
        <v>-0.286896097568683</v>
      </c>
      <c r="J111" s="27" t="n">
        <v>0.024390243902439</v>
      </c>
      <c r="K111" s="36" t="b">
        <f aca="false">TRUE()</f>
        <v>1</v>
      </c>
      <c r="L111" s="36" t="b">
        <f aca="false">IF('10 Assumptions'!$B$24="Yes",TRUE(),K111)</f>
        <v>1</v>
      </c>
      <c r="M111" s="22" t="n">
        <f aca="false">-(EXP(G111)-1)*D111</f>
        <v>20051.5205401455</v>
      </c>
      <c r="N111" s="22" t="n">
        <f aca="false">IF(L111,M111,0)</f>
        <v>20051.5205401455</v>
      </c>
      <c r="O111" s="31" t="n">
        <v>-0.550828448287692</v>
      </c>
      <c r="P111" s="32" t="n">
        <f aca="false">-(EXP(O111)-1)*D111</f>
        <v>18569.7415755216</v>
      </c>
      <c r="Q111" s="32" t="n">
        <f aca="false">ABS(F111-P111)</f>
        <v>114.91296150643</v>
      </c>
      <c r="R111" s="36" t="b">
        <f aca="false">FALSE()</f>
        <v>0</v>
      </c>
    </row>
    <row r="112" customFormat="false" ht="15" hidden="false" customHeight="false" outlineLevel="0" collapsed="false">
      <c r="A112" s="15" t="str">
        <f aca="false">'03 Optimization Events'!A112</f>
        <v>i-099</v>
      </c>
      <c r="B112" s="15" t="str">
        <f aca="false">'03 Optimization Events'!C112</f>
        <v>bu-platform</v>
      </c>
      <c r="C112" s="15" t="str">
        <f aca="false">'03 Optimization Events'!D112</f>
        <v>enable_autoscaling</v>
      </c>
      <c r="D112" s="8" t="n">
        <f aca="false">'03 Optimization Events'!I112</f>
        <v>14765.1469105778</v>
      </c>
      <c r="E112" s="25" t="n">
        <v>0.327124864661985</v>
      </c>
      <c r="F112" s="18" t="n">
        <f aca="false">-(EXP(E112)-1)*D112</f>
        <v>-5713.73756514519</v>
      </c>
      <c r="G112" s="25" t="n">
        <v>0.228599727884024</v>
      </c>
      <c r="H112" s="29" t="n">
        <f aca="false">EXP(-0.0660998693048426)-1</f>
        <v>-0.0639626217787676</v>
      </c>
      <c r="I112" s="29" t="n">
        <f aca="false">EXP(0.523299325072891)-1</f>
        <v>0.687586370668091</v>
      </c>
      <c r="J112" s="25" t="n">
        <v>0.146341463414634</v>
      </c>
      <c r="K112" s="30" t="b">
        <f aca="false">TRUE()</f>
        <v>1</v>
      </c>
      <c r="L112" s="30" t="b">
        <f aca="false">IF('10 Assumptions'!$B$24="Yes",TRUE(),K112)</f>
        <v>1</v>
      </c>
      <c r="M112" s="18" t="n">
        <f aca="false">-(EXP(G112)-1)*D112</f>
        <v>-3792.26351149945</v>
      </c>
      <c r="N112" s="18" t="n">
        <f aca="false">IF(L112,M112,0)</f>
        <v>-3792.26351149945</v>
      </c>
      <c r="O112" s="31" t="n">
        <v>0</v>
      </c>
      <c r="P112" s="32" t="n">
        <f aca="false">-(EXP(O112)-1)*D112</f>
        <v>-0</v>
      </c>
      <c r="Q112" s="32" t="n">
        <f aca="false">ABS(F112-P112)</f>
        <v>5713.73756514519</v>
      </c>
      <c r="R112" s="30" t="b">
        <f aca="false">TRUE()</f>
        <v>1</v>
      </c>
    </row>
    <row r="113" customFormat="false" ht="15" hidden="false" customHeight="false" outlineLevel="0" collapsed="false">
      <c r="A113" s="33" t="str">
        <f aca="false">'03 Optimization Events'!A113</f>
        <v>i-065</v>
      </c>
      <c r="B113" s="33" t="str">
        <f aca="false">'03 Optimization Events'!C113</f>
        <v>bu-datasci</v>
      </c>
      <c r="C113" s="33" t="str">
        <f aca="false">'03 Optimization Events'!D113</f>
        <v>migrate_storage_class</v>
      </c>
      <c r="D113" s="34" t="n">
        <f aca="false">'03 Optimization Events'!I113</f>
        <v>5199.61144335905</v>
      </c>
      <c r="E113" s="27" t="n">
        <v>-0.838114300957439</v>
      </c>
      <c r="F113" s="22" t="n">
        <f aca="false">-(EXP(E113)-1)*D113</f>
        <v>2950.64759252756</v>
      </c>
      <c r="G113" s="27" t="n">
        <v>-0.900867235688097</v>
      </c>
      <c r="H113" s="35" t="n">
        <f aca="false">EXP(-1.11555088800447)-1</f>
        <v>-0.672265315945704</v>
      </c>
      <c r="I113" s="35" t="n">
        <f aca="false">EXP(-0.686183583371729)-1</f>
        <v>-0.496506050295671</v>
      </c>
      <c r="J113" s="27" t="n">
        <v>0.024390243902439</v>
      </c>
      <c r="K113" s="36" t="b">
        <f aca="false">TRUE()</f>
        <v>1</v>
      </c>
      <c r="L113" s="36" t="b">
        <f aca="false">IF('10 Assumptions'!$B$24="Yes",TRUE(),K113)</f>
        <v>1</v>
      </c>
      <c r="M113" s="22" t="n">
        <f aca="false">-(EXP(G113)-1)*D113</f>
        <v>3087.43973324508</v>
      </c>
      <c r="N113" s="22" t="n">
        <f aca="false">IF(L113,M113,0)</f>
        <v>3087.43973324508</v>
      </c>
      <c r="O113" s="31" t="n">
        <v>-0.798507110663067</v>
      </c>
      <c r="P113" s="32" t="n">
        <f aca="false">-(EXP(O113)-1)*D113</f>
        <v>2859.78492375145</v>
      </c>
      <c r="Q113" s="32" t="n">
        <f aca="false">ABS(F113-P113)</f>
        <v>90.8626687761102</v>
      </c>
      <c r="R113" s="36" t="b">
        <f aca="false">FALSE()</f>
        <v>0</v>
      </c>
    </row>
    <row r="114" customFormat="false" ht="15" hidden="false" customHeight="false" outlineLevel="0" collapsed="false">
      <c r="A114" s="15" t="str">
        <f aca="false">'03 Optimization Events'!A114</f>
        <v>i-021</v>
      </c>
      <c r="B114" s="15" t="str">
        <f aca="false">'03 Optimization Events'!C114</f>
        <v>bu-platform</v>
      </c>
      <c r="C114" s="15" t="str">
        <f aca="false">'03 Optimization Events'!D114</f>
        <v>cache_inference_results</v>
      </c>
      <c r="D114" s="8" t="n">
        <f aca="false">'03 Optimization Events'!I114</f>
        <v>64151.6058505525</v>
      </c>
      <c r="E114" s="25" t="n">
        <v>-0.758853475098126</v>
      </c>
      <c r="F114" s="18" t="n">
        <f aca="false">-(EXP(E114)-1)*D114</f>
        <v>34115.6363023267</v>
      </c>
      <c r="G114" s="25" t="n">
        <v>-0.827284166911632</v>
      </c>
      <c r="H114" s="29" t="n">
        <f aca="false">EXP(-1.0809763260234)-1</f>
        <v>-0.660735868503487</v>
      </c>
      <c r="I114" s="29" t="n">
        <f aca="false">EXP(-0.573592007799869)-1</f>
        <v>-0.436502289100027</v>
      </c>
      <c r="J114" s="25" t="n">
        <v>0.024390243902439</v>
      </c>
      <c r="K114" s="30" t="b">
        <f aca="false">TRUE()</f>
        <v>1</v>
      </c>
      <c r="L114" s="30" t="b">
        <f aca="false">IF('10 Assumptions'!$B$24="Yes",TRUE(),K114)</f>
        <v>1</v>
      </c>
      <c r="M114" s="18" t="n">
        <f aca="false">-(EXP(G114)-1)*D114</f>
        <v>36102.2699373139</v>
      </c>
      <c r="N114" s="18" t="n">
        <f aca="false">IF(L114,M114,0)</f>
        <v>36102.2699373139</v>
      </c>
      <c r="O114" s="31" t="n">
        <v>-1.03182855340362</v>
      </c>
      <c r="P114" s="32" t="n">
        <f aca="false">-(EXP(O114)-1)*D114</f>
        <v>41290.8763369377</v>
      </c>
      <c r="Q114" s="32" t="n">
        <f aca="false">ABS(F114-P114)</f>
        <v>7175.24003461097</v>
      </c>
      <c r="R114" s="30" t="b">
        <f aca="false">FALSE()</f>
        <v>0</v>
      </c>
    </row>
    <row r="115" customFormat="false" ht="15" hidden="false" customHeight="false" outlineLevel="0" collapsed="false">
      <c r="A115" s="33" t="str">
        <f aca="false">'03 Optimization Events'!A115</f>
        <v>i-045</v>
      </c>
      <c r="B115" s="33" t="str">
        <f aca="false">'03 Optimization Events'!C115</f>
        <v>bu-checkout</v>
      </c>
      <c r="C115" s="33" t="str">
        <f aca="false">'03 Optimization Events'!D115</f>
        <v>delete_orphaned_volume</v>
      </c>
      <c r="D115" s="34" t="n">
        <f aca="false">'03 Optimization Events'!I115</f>
        <v>14615.7873393642</v>
      </c>
      <c r="E115" s="27" t="n">
        <v>-0.896231005298037</v>
      </c>
      <c r="F115" s="22" t="n">
        <f aca="false">-(EXP(E115)-1)*D115</f>
        <v>8651.01276277399</v>
      </c>
      <c r="G115" s="27" t="n">
        <v>-0.95921361300176</v>
      </c>
      <c r="H115" s="35" t="n">
        <f aca="false">EXP(-1.14314422990387)-1</f>
        <v>-0.681184983477037</v>
      </c>
      <c r="I115" s="35" t="n">
        <f aca="false">EXP(-0.775282996099647)-1</f>
        <v>-0.539426577927745</v>
      </c>
      <c r="J115" s="27" t="n">
        <v>0.024390243902439</v>
      </c>
      <c r="K115" s="36" t="b">
        <f aca="false">TRUE()</f>
        <v>1</v>
      </c>
      <c r="L115" s="36" t="b">
        <f aca="false">IF('10 Assumptions'!$B$24="Yes",TRUE(),K115)</f>
        <v>1</v>
      </c>
      <c r="M115" s="22" t="n">
        <f aca="false">-(EXP(G115)-1)*D115</f>
        <v>9015.10377074705</v>
      </c>
      <c r="N115" s="22" t="n">
        <f aca="false">IF(L115,M115,0)</f>
        <v>9015.10377074705</v>
      </c>
      <c r="O115" s="31" t="n">
        <v>-0.740116273796297</v>
      </c>
      <c r="P115" s="32" t="n">
        <f aca="false">-(EXP(O115)-1)*D115</f>
        <v>7643.20258949134</v>
      </c>
      <c r="Q115" s="32" t="n">
        <f aca="false">ABS(F115-P115)</f>
        <v>1007.81017328265</v>
      </c>
      <c r="R115" s="36" t="b">
        <f aca="false">FALSE()</f>
        <v>0</v>
      </c>
    </row>
    <row r="116" customFormat="false" ht="15" hidden="false" customHeight="false" outlineLevel="0" collapsed="false">
      <c r="A116" s="15" t="str">
        <f aca="false">'03 Optimization Events'!A116</f>
        <v>i-013</v>
      </c>
      <c r="B116" s="15" t="str">
        <f aca="false">'03 Optimization Events'!C116</f>
        <v>bu-search</v>
      </c>
      <c r="C116" s="15" t="str">
        <f aca="false">'03 Optimization Events'!D116</f>
        <v>rightsize_instance</v>
      </c>
      <c r="D116" s="8" t="n">
        <f aca="false">'03 Optimization Events'!I116</f>
        <v>19555.6679943222</v>
      </c>
      <c r="E116" s="25" t="n">
        <v>-0.840109052721748</v>
      </c>
      <c r="F116" s="18" t="n">
        <f aca="false">-(EXP(E116)-1)*D116</f>
        <v>11114.2009436424</v>
      </c>
      <c r="G116" s="25" t="n">
        <v>-0.927783058885369</v>
      </c>
      <c r="H116" s="29" t="n">
        <f aca="false">EXP(-1.10840289853953)-1</f>
        <v>-0.669914279294447</v>
      </c>
      <c r="I116" s="29" t="n">
        <f aca="false">EXP(-0.747163219231211)-1</f>
        <v>-0.526291544464223</v>
      </c>
      <c r="J116" s="25" t="n">
        <v>0.024390243902439</v>
      </c>
      <c r="K116" s="30" t="b">
        <f aca="false">TRUE()</f>
        <v>1</v>
      </c>
      <c r="L116" s="30" t="b">
        <f aca="false">IF('10 Assumptions'!$B$24="Yes",TRUE(),K116)</f>
        <v>1</v>
      </c>
      <c r="M116" s="18" t="n">
        <f aca="false">-(EXP(G116)-1)*D116</f>
        <v>11822.7822649253</v>
      </c>
      <c r="N116" s="18" t="n">
        <f aca="false">IF(L116,M116,0)</f>
        <v>11822.7822649253</v>
      </c>
      <c r="O116" s="31" t="n">
        <v>-1.09190400854362</v>
      </c>
      <c r="P116" s="32" t="n">
        <f aca="false">-(EXP(O116)-1)*D116</f>
        <v>12993.2366972102</v>
      </c>
      <c r="Q116" s="32" t="n">
        <f aca="false">ABS(F116-P116)</f>
        <v>1879.03575356779</v>
      </c>
      <c r="R116" s="30" t="b">
        <f aca="false">FALSE()</f>
        <v>0</v>
      </c>
    </row>
    <row r="117" customFormat="false" ht="15" hidden="false" customHeight="false" outlineLevel="0" collapsed="false">
      <c r="A117" s="33" t="str">
        <f aca="false">'03 Optimization Events'!A117</f>
        <v>i-053</v>
      </c>
      <c r="B117" s="33" t="str">
        <f aca="false">'03 Optimization Events'!C117</f>
        <v>bu-search</v>
      </c>
      <c r="C117" s="33" t="str">
        <f aca="false">'03 Optimization Events'!D117</f>
        <v>cache_inference_results</v>
      </c>
      <c r="D117" s="34" t="n">
        <f aca="false">'03 Optimization Events'!I117</f>
        <v>72551.0285903529</v>
      </c>
      <c r="E117" s="27" t="n">
        <v>-0.682770913759695</v>
      </c>
      <c r="F117" s="22" t="n">
        <f aca="false">-(EXP(E117)-1)*D117</f>
        <v>35897.1502722766</v>
      </c>
      <c r="G117" s="27" t="n">
        <v>-0.757047216689803</v>
      </c>
      <c r="H117" s="35" t="n">
        <f aca="false">EXP(-0.923250346930667)-1</f>
        <v>-0.602774181208384</v>
      </c>
      <c r="I117" s="35" t="n">
        <f aca="false">EXP(-0.590844086448939)-1</f>
        <v>-0.446140417996277</v>
      </c>
      <c r="J117" s="27" t="n">
        <v>0.024390243902439</v>
      </c>
      <c r="K117" s="36" t="b">
        <f aca="false">TRUE()</f>
        <v>1</v>
      </c>
      <c r="L117" s="36" t="b">
        <f aca="false">IF('10 Assumptions'!$B$24="Yes",TRUE(),K117)</f>
        <v>1</v>
      </c>
      <c r="M117" s="22" t="n">
        <f aca="false">-(EXP(G117)-1)*D117</f>
        <v>38521.0132189129</v>
      </c>
      <c r="N117" s="22" t="n">
        <f aca="false">IF(L117,M117,0)</f>
        <v>38521.0132189129</v>
      </c>
      <c r="O117" s="31" t="n">
        <v>-0.664484714363273</v>
      </c>
      <c r="P117" s="32" t="n">
        <f aca="false">-(EXP(O117)-1)*D117</f>
        <v>35220.7243639717</v>
      </c>
      <c r="Q117" s="32" t="n">
        <f aca="false">ABS(F117-P117)</f>
        <v>676.425908304911</v>
      </c>
      <c r="R117" s="36" t="b">
        <f aca="false">FALSE()</f>
        <v>0</v>
      </c>
    </row>
    <row r="118" customFormat="false" ht="15" hidden="false" customHeight="false" outlineLevel="0" collapsed="false">
      <c r="A118" s="15" t="str">
        <f aca="false">'03 Optimization Events'!A118</f>
        <v>i-023</v>
      </c>
      <c r="B118" s="15" t="str">
        <f aca="false">'03 Optimization Events'!C118</f>
        <v>bu-assist</v>
      </c>
      <c r="C118" s="15" t="str">
        <f aca="false">'03 Optimization Events'!D118</f>
        <v>consolidate_cluster</v>
      </c>
      <c r="D118" s="8" t="n">
        <f aca="false">'03 Optimization Events'!I118</f>
        <v>87962.8728534979</v>
      </c>
      <c r="E118" s="25" t="n">
        <v>-0.662963374329952</v>
      </c>
      <c r="F118" s="18" t="n">
        <f aca="false">-(EXP(E118)-1)*D118</f>
        <v>42633.6712537819</v>
      </c>
      <c r="G118" s="25" t="n">
        <v>-0.745112357365928</v>
      </c>
      <c r="H118" s="29" t="n">
        <f aca="false">EXP(-0.9331436416272)-1</f>
        <v>-0.606684677552712</v>
      </c>
      <c r="I118" s="29" t="n">
        <f aca="false">EXP(-0.557081073104657)-1</f>
        <v>-0.42712118289355</v>
      </c>
      <c r="J118" s="25" t="n">
        <v>0.024390243902439</v>
      </c>
      <c r="K118" s="30" t="b">
        <f aca="false">TRUE()</f>
        <v>1</v>
      </c>
      <c r="L118" s="30" t="b">
        <f aca="false">IF('10 Assumptions'!$B$24="Yes",TRUE(),K118)</f>
        <v>1</v>
      </c>
      <c r="M118" s="18" t="n">
        <f aca="false">-(EXP(G118)-1)*D118</f>
        <v>46208.5716555545</v>
      </c>
      <c r="N118" s="18" t="n">
        <f aca="false">IF(L118,M118,0)</f>
        <v>46208.5716555545</v>
      </c>
      <c r="O118" s="31" t="n">
        <v>-0.911573449967405</v>
      </c>
      <c r="P118" s="32" t="n">
        <f aca="false">-(EXP(O118)-1)*D118</f>
        <v>52611.3533452233</v>
      </c>
      <c r="Q118" s="32" t="n">
        <f aca="false">ABS(F118-P118)</f>
        <v>9977.68209144141</v>
      </c>
      <c r="R118" s="30" t="b">
        <f aca="false">FALSE()</f>
        <v>0</v>
      </c>
    </row>
    <row r="119" customFormat="false" ht="15" hidden="false" customHeight="false" outlineLevel="0" collapsed="false">
      <c r="A119" s="33" t="str">
        <f aca="false">'03 Optimization Events'!A119</f>
        <v>i-016</v>
      </c>
      <c r="B119" s="33" t="str">
        <f aca="false">'03 Optimization Events'!C119</f>
        <v>bu-checkout</v>
      </c>
      <c r="C119" s="33" t="str">
        <f aca="false">'03 Optimization Events'!D119</f>
        <v>consolidate_cluster</v>
      </c>
      <c r="D119" s="34" t="n">
        <f aca="false">'03 Optimization Events'!I119</f>
        <v>14046.9471843627</v>
      </c>
      <c r="E119" s="27" t="n">
        <v>-0.871914274745289</v>
      </c>
      <c r="F119" s="22" t="n">
        <f aca="false">-(EXP(E119)-1)*D119</f>
        <v>8173.21161181038</v>
      </c>
      <c r="G119" s="27" t="n">
        <v>-0.912934978162704</v>
      </c>
      <c r="H119" s="35" t="n">
        <f aca="false">EXP(-1.07306751616921)-1</f>
        <v>-0.658042054607519</v>
      </c>
      <c r="I119" s="35" t="n">
        <f aca="false">EXP(-0.752802440156202)-1</f>
        <v>-0.528955373080666</v>
      </c>
      <c r="J119" s="27" t="n">
        <v>0.024390243902439</v>
      </c>
      <c r="K119" s="36" t="b">
        <f aca="false">TRUE()</f>
        <v>1</v>
      </c>
      <c r="L119" s="36" t="b">
        <f aca="false">IF('10 Assumptions'!$B$24="Yes",TRUE(),K119)</f>
        <v>1</v>
      </c>
      <c r="M119" s="22" t="n">
        <f aca="false">-(EXP(G119)-1)*D119</f>
        <v>8409.2814003726</v>
      </c>
      <c r="N119" s="22" t="n">
        <f aca="false">IF(L119,M119,0)</f>
        <v>8409.2814003726</v>
      </c>
      <c r="O119" s="31" t="n">
        <v>-1.00514742950377</v>
      </c>
      <c r="P119" s="32" t="n">
        <f aca="false">-(EXP(O119)-1)*D119</f>
        <v>8905.89553071987</v>
      </c>
      <c r="Q119" s="32" t="n">
        <f aca="false">ABS(F119-P119)</f>
        <v>732.683918909488</v>
      </c>
      <c r="R119" s="36" t="b">
        <f aca="false">FALSE()</f>
        <v>0</v>
      </c>
    </row>
    <row r="120" customFormat="false" ht="15" hidden="false" customHeight="false" outlineLevel="0" collapsed="false">
      <c r="A120" s="15" t="str">
        <f aca="false">'03 Optimization Events'!A120</f>
        <v>i-071</v>
      </c>
      <c r="B120" s="15" t="str">
        <f aca="false">'03 Optimization Events'!C120</f>
        <v>bu-datalake</v>
      </c>
      <c r="C120" s="15" t="str">
        <f aca="false">'03 Optimization Events'!D120</f>
        <v>migrate_storage_class</v>
      </c>
      <c r="D120" s="8" t="n">
        <f aca="false">'03 Optimization Events'!I120</f>
        <v>7974.80716696035</v>
      </c>
      <c r="E120" s="25" t="n">
        <v>-0.571325043183882</v>
      </c>
      <c r="F120" s="18" t="n">
        <f aca="false">-(EXP(E120)-1)*D120</f>
        <v>3470.82277479849</v>
      </c>
      <c r="G120" s="25" t="n">
        <v>-0.6802809370722</v>
      </c>
      <c r="H120" s="29" t="n">
        <f aca="false">EXP(-1.06207548231304)-1</f>
        <v>-0.654262506891335</v>
      </c>
      <c r="I120" s="29" t="n">
        <f aca="false">EXP(-0.29848639183136)-1</f>
        <v>-0.258059621768804</v>
      </c>
      <c r="J120" s="25" t="n">
        <v>0.024390243902439</v>
      </c>
      <c r="K120" s="30" t="b">
        <f aca="false">TRUE()</f>
        <v>1</v>
      </c>
      <c r="L120" s="30" t="b">
        <f aca="false">IF('10 Assumptions'!$B$24="Yes",TRUE(),K120)</f>
        <v>1</v>
      </c>
      <c r="M120" s="18" t="n">
        <f aca="false">-(EXP(G120)-1)*D120</f>
        <v>3935.76922024136</v>
      </c>
      <c r="N120" s="18" t="n">
        <f aca="false">IF(L120,M120,0)</f>
        <v>3935.76922024136</v>
      </c>
      <c r="O120" s="31" t="n">
        <v>-0.540549570728954</v>
      </c>
      <c r="P120" s="32" t="n">
        <f aca="false">-(EXP(O120)-1)*D120</f>
        <v>3330.05554847842</v>
      </c>
      <c r="Q120" s="32" t="n">
        <f aca="false">ABS(F120-P120)</f>
        <v>140.767226320075</v>
      </c>
      <c r="R120" s="30" t="b">
        <f aca="false">FALSE()</f>
        <v>0</v>
      </c>
    </row>
    <row r="121" customFormat="false" ht="15" hidden="false" customHeight="false" outlineLevel="0" collapsed="false">
      <c r="A121" s="33" t="str">
        <f aca="false">'03 Optimization Events'!A121</f>
        <v>i-084</v>
      </c>
      <c r="B121" s="33" t="str">
        <f aca="false">'03 Optimization Events'!C121</f>
        <v>bu-search</v>
      </c>
      <c r="C121" s="33" t="str">
        <f aca="false">'03 Optimization Events'!D121</f>
        <v>delete_orphaned_volume</v>
      </c>
      <c r="D121" s="34" t="n">
        <f aca="false">'03 Optimization Events'!I121</f>
        <v>25217.6659984041</v>
      </c>
      <c r="E121" s="27" t="n">
        <v>-0.43688333410686</v>
      </c>
      <c r="F121" s="22" t="n">
        <f aca="false">-(EXP(E121)-1)*D121</f>
        <v>8925.87361093915</v>
      </c>
      <c r="G121" s="27" t="n">
        <v>-0.537344667753734</v>
      </c>
      <c r="H121" s="35" t="n">
        <f aca="false">EXP(-0.723681460952935)-1</f>
        <v>-0.515036408993835</v>
      </c>
      <c r="I121" s="35" t="n">
        <f aca="false">EXP(-0.351007874554534)-1</f>
        <v>-0.296021789681013</v>
      </c>
      <c r="J121" s="27" t="n">
        <v>0.024390243902439</v>
      </c>
      <c r="K121" s="36" t="b">
        <f aca="false">TRUE()</f>
        <v>1</v>
      </c>
      <c r="L121" s="36" t="b">
        <f aca="false">IF('10 Assumptions'!$B$24="Yes",TRUE(),K121)</f>
        <v>1</v>
      </c>
      <c r="M121" s="22" t="n">
        <f aca="false">-(EXP(G121)-1)*D121</f>
        <v>10483.0417854927</v>
      </c>
      <c r="N121" s="22" t="n">
        <f aca="false">IF(L121,M121,0)</f>
        <v>10483.0417854927</v>
      </c>
      <c r="O121" s="31" t="n">
        <v>-0.596477981934935</v>
      </c>
      <c r="P121" s="32" t="n">
        <f aca="false">-(EXP(O121)-1)*D121</f>
        <v>11329.0876797771</v>
      </c>
      <c r="Q121" s="32" t="n">
        <f aca="false">ABS(F121-P121)</f>
        <v>2403.21406883793</v>
      </c>
      <c r="R121" s="36" t="b">
        <f aca="false">FALSE()</f>
        <v>0</v>
      </c>
    </row>
    <row r="122" customFormat="false" ht="15" hidden="false" customHeight="false" outlineLevel="0" collapsed="false">
      <c r="A122" s="15" t="str">
        <f aca="false">'03 Optimization Events'!A122</f>
        <v>i-108</v>
      </c>
      <c r="B122" s="15" t="str">
        <f aca="false">'03 Optimization Events'!C122</f>
        <v>bu-search</v>
      </c>
      <c r="C122" s="15" t="str">
        <f aca="false">'03 Optimization Events'!D122</f>
        <v>schedule_shutdown</v>
      </c>
      <c r="D122" s="8" t="n">
        <f aca="false">'03 Optimization Events'!I122</f>
        <v>17874.3530166552</v>
      </c>
      <c r="E122" s="25" t="n">
        <v>0.204314045458951</v>
      </c>
      <c r="F122" s="18" t="n">
        <f aca="false">-(EXP(E122)-1)*D122</f>
        <v>-4051.81781515926</v>
      </c>
      <c r="G122" s="25" t="n">
        <v>0.118830720293637</v>
      </c>
      <c r="H122" s="29" t="n">
        <f aca="false">EXP(-0.0775561411056908)-1</f>
        <v>-0.0746249286413847</v>
      </c>
      <c r="I122" s="29" t="n">
        <f aca="false">EXP(0.315217581692964)-1</f>
        <v>0.370557486735293</v>
      </c>
      <c r="J122" s="25" t="n">
        <v>0.24390243902439</v>
      </c>
      <c r="K122" s="30" t="b">
        <f aca="false">FALSE()</f>
        <v>0</v>
      </c>
      <c r="L122" s="30" t="b">
        <f aca="false">IF('10 Assumptions'!$B$24="Yes",TRUE(),K122)</f>
        <v>0</v>
      </c>
      <c r="M122" s="18" t="n">
        <f aca="false">-(EXP(G122)-1)*D122</f>
        <v>-2255.37268768434</v>
      </c>
      <c r="N122" s="18" t="n">
        <f aca="false">IF(L122,M122,0)</f>
        <v>0</v>
      </c>
      <c r="O122" s="31" t="n">
        <v>0</v>
      </c>
      <c r="P122" s="32" t="n">
        <f aca="false">-(EXP(O122)-1)*D122</f>
        <v>-0</v>
      </c>
      <c r="Q122" s="32" t="n">
        <f aca="false">ABS(F122-P122)</f>
        <v>4051.81781515926</v>
      </c>
      <c r="R122" s="30" t="b">
        <f aca="false">TRUE()</f>
        <v>1</v>
      </c>
    </row>
    <row r="123" customFormat="false" ht="15" hidden="false" customHeight="false" outlineLevel="0" collapsed="false">
      <c r="A123" s="9" t="s">
        <v>82</v>
      </c>
      <c r="D123" s="23" t="n">
        <f aca="false">SUM(D6:D122)</f>
        <v>4124601.82178382</v>
      </c>
      <c r="F123" s="23" t="n">
        <f aca="false">SUM(F6:F122)</f>
        <v>1693741.00166715</v>
      </c>
      <c r="K123" s="37" t="n">
        <f aca="false">COUNTIF(K6:K122,TRUE())</f>
        <v>103</v>
      </c>
      <c r="L123" s="37" t="n">
        <f aca="false">COUNTIF(L6:L122,TRUE())</f>
        <v>103</v>
      </c>
      <c r="M123" s="23" t="n">
        <f aca="false">SUM(M6:M122)</f>
        <v>1809486.902302</v>
      </c>
      <c r="N123" s="23" t="n">
        <f aca="false">SUM(N6:N122)</f>
        <v>1872634.04129571</v>
      </c>
      <c r="P123" s="23" t="n">
        <f aca="false">SUM(P6:P122)</f>
        <v>2020441.12594542</v>
      </c>
      <c r="Q123" s="23" t="n">
        <f aca="false">SUM(Q6:Q122)</f>
        <v>450967.844452654</v>
      </c>
      <c r="R123" s="37" t="n">
        <f aca="false">COUNTIF(R6:R122,TRUE())</f>
        <v>30</v>
      </c>
    </row>
    <row r="126" customFormat="false" ht="15" hidden="false" customHeight="false" outlineLevel="0" collapsed="false">
      <c r="A126" s="4" t="s">
        <v>356</v>
      </c>
    </row>
    <row r="127" customFormat="false" ht="15" hidden="false" customHeight="false" outlineLevel="0" collapsed="false">
      <c r="A127" s="5" t="s">
        <v>19</v>
      </c>
      <c r="D127" s="38" t="n">
        <f aca="false">COUNTA($A$6:$A$122)</f>
        <v>117</v>
      </c>
    </row>
    <row r="128" customFormat="false" ht="15" hidden="false" customHeight="false" outlineLevel="0" collapsed="false">
      <c r="A128" s="5" t="s">
        <v>357</v>
      </c>
      <c r="D128" s="38" t="n">
        <f aca="false">K123</f>
        <v>103</v>
      </c>
    </row>
    <row r="129" customFormat="false" ht="15" hidden="false" customHeight="false" outlineLevel="0" collapsed="false">
      <c r="A129" s="5" t="s">
        <v>358</v>
      </c>
      <c r="D129" s="38" t="n">
        <f aca="false">L123</f>
        <v>103</v>
      </c>
    </row>
    <row r="130" customFormat="false" ht="15" hidden="false" customHeight="false" outlineLevel="0" collapsed="false">
      <c r="A130" s="5" t="s">
        <v>359</v>
      </c>
      <c r="D130" s="39" t="n">
        <f aca="false">R123</f>
        <v>30</v>
      </c>
    </row>
    <row r="131" customFormat="false" ht="15" hidden="false" customHeight="false" outlineLevel="0" collapsed="false">
      <c r="A131" s="5" t="s">
        <v>360</v>
      </c>
      <c r="D131" s="40" t="n">
        <f aca="false">F123</f>
        <v>1693741.00166715</v>
      </c>
    </row>
    <row r="132" customFormat="false" ht="15" hidden="false" customHeight="false" outlineLevel="0" collapsed="false">
      <c r="A132" s="5" t="s">
        <v>361</v>
      </c>
      <c r="D132" s="40" t="n">
        <f aca="false">M123</f>
        <v>1809486.902302</v>
      </c>
    </row>
    <row r="133" customFormat="false" ht="15" hidden="false" customHeight="false" outlineLevel="0" collapsed="false">
      <c r="A133" s="9" t="s">
        <v>362</v>
      </c>
      <c r="D133" s="41" t="n">
        <f aca="false">N123</f>
        <v>1872634.04129571</v>
      </c>
    </row>
    <row r="134" customFormat="false" ht="15" hidden="false" customHeight="false" outlineLevel="0" collapsed="false">
      <c r="A134" s="5" t="s">
        <v>363</v>
      </c>
      <c r="D134" s="42" t="n">
        <f aca="false">P123</f>
        <v>2020441.12594542</v>
      </c>
    </row>
    <row r="135" customFormat="false" ht="15" hidden="false" customHeight="false" outlineLevel="0" collapsed="false">
      <c r="A135" s="5" t="s">
        <v>364</v>
      </c>
      <c r="D135" s="42" t="n">
        <f aca="false">Q123</f>
        <v>450967.844452654</v>
      </c>
    </row>
    <row r="136" customFormat="false" ht="15" hidden="false" customHeight="false" outlineLevel="0" collapsed="false">
      <c r="A136" s="5" t="s">
        <v>365</v>
      </c>
      <c r="D136" s="42" t="n">
        <f aca="false">SUMIF($R$6:$R$122,TRUE(),$F$6:$F$122)</f>
        <v>-231036.258384868</v>
      </c>
    </row>
    <row r="137" customFormat="false" ht="15" hidden="false" customHeight="false" outlineLevel="0" collapsed="false">
      <c r="A137" s="5" t="s">
        <v>366</v>
      </c>
      <c r="D137" s="42" t="n">
        <f aca="false">SUMIF($R$6:$R$122,TRUE(),$M$6:$M$122)</f>
        <v>-150778.875536437</v>
      </c>
    </row>
    <row r="138" customFormat="false" ht="15" hidden="false" customHeight="false" outlineLevel="0" collapsed="false">
      <c r="A138" s="5" t="s">
        <v>367</v>
      </c>
      <c r="D138" s="42" t="n">
        <f aca="false">SUMIF($R$6:$R$122,TRUE(),$N$6:$N$122)</f>
        <v>-29053.9509224203</v>
      </c>
    </row>
    <row r="139" customFormat="false" ht="15" hidden="false" customHeight="false" outlineLevel="0" collapsed="false">
      <c r="A139" s="5" t="s">
        <v>368</v>
      </c>
      <c r="D139" s="43" t="n">
        <f aca="false">IF(P123=0,0,Q123/P123)</f>
        <v>0.223202665329648</v>
      </c>
    </row>
    <row r="141" customFormat="false" ht="15" hidden="false" customHeight="false" outlineLevel="0" collapsed="false">
      <c r="A141" s="2"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7" min="2" style="0" width="13"/>
  </cols>
  <sheetData>
    <row r="1" customFormat="false" ht="19.7" hidden="false" customHeight="false" outlineLevel="0" collapsed="false">
      <c r="A1" s="1" t="s">
        <v>370</v>
      </c>
    </row>
    <row r="2" customFormat="false" ht="15" hidden="false" customHeight="false" outlineLevel="0" collapsed="false">
      <c r="A2" s="2" t="s">
        <v>371</v>
      </c>
    </row>
    <row r="3" customFormat="false" ht="15" hidden="false" customHeight="false" outlineLevel="0" collapsed="false">
      <c r="A3" s="3" t="s">
        <v>2</v>
      </c>
    </row>
    <row r="4" customFormat="false" ht="15" hidden="false" customHeight="false" outlineLevel="0" collapsed="false">
      <c r="A4" s="5" t="s">
        <v>372</v>
      </c>
      <c r="B4" s="44" t="n">
        <f aca="false">(1+'10 Assumptions'!$B$20)^(1/12)</f>
        <v>1.01171491691985</v>
      </c>
      <c r="C4" s="2" t="s">
        <v>373</v>
      </c>
    </row>
    <row r="5" customFormat="false" ht="15" hidden="false" customHeight="false" outlineLevel="0" collapsed="false">
      <c r="A5" s="9" t="s">
        <v>374</v>
      </c>
      <c r="B5" s="8" t="n">
        <f aca="false">AVERAGE('02 Raw Cost Data'!I6:I11)</f>
        <v>157209.367205485</v>
      </c>
      <c r="E5" s="8" t="n">
        <f aca="false">AVERAGE('02 Raw Cost Data'!J6:J11)</f>
        <v>86225.5613688716</v>
      </c>
      <c r="H5" s="8" t="n">
        <f aca="false">AVERAGE('02 Raw Cost Data'!K6:K11)</f>
        <v>63959.1057585705</v>
      </c>
      <c r="K5" s="8" t="n">
        <f aca="false">AVERAGE('02 Raw Cost Data'!L6:L11)</f>
        <v>150202.679577974</v>
      </c>
      <c r="N5" s="8" t="n">
        <f aca="false">AVERAGE('02 Raw Cost Data'!M6:M11)</f>
        <v>71068.8182520596</v>
      </c>
      <c r="Q5" s="8" t="n">
        <f aca="false">AVERAGE('02 Raw Cost Data'!N6:N11)</f>
        <v>86269.1862532791</v>
      </c>
      <c r="T5" s="8" t="n">
        <f aca="false">AVERAGE('02 Raw Cost Data'!O6:O11)</f>
        <v>74231.5702186335</v>
      </c>
    </row>
    <row r="6" customFormat="false" ht="30" hidden="false" customHeight="true" outlineLevel="0" collapsed="false">
      <c r="A6" s="6" t="s">
        <v>69</v>
      </c>
      <c r="B6" s="6" t="s">
        <v>375</v>
      </c>
      <c r="C6" s="6" t="s">
        <v>376</v>
      </c>
      <c r="D6" s="6" t="s">
        <v>377</v>
      </c>
      <c r="E6" s="6" t="s">
        <v>378</v>
      </c>
      <c r="F6" s="6" t="s">
        <v>379</v>
      </c>
      <c r="G6" s="6" t="s">
        <v>380</v>
      </c>
      <c r="H6" s="6" t="s">
        <v>381</v>
      </c>
      <c r="I6" s="6" t="s">
        <v>382</v>
      </c>
      <c r="J6" s="6" t="s">
        <v>383</v>
      </c>
      <c r="K6" s="6" t="s">
        <v>384</v>
      </c>
      <c r="L6" s="6" t="s">
        <v>385</v>
      </c>
      <c r="M6" s="6" t="s">
        <v>386</v>
      </c>
      <c r="N6" s="6" t="s">
        <v>387</v>
      </c>
      <c r="O6" s="6" t="s">
        <v>388</v>
      </c>
      <c r="P6" s="6" t="s">
        <v>389</v>
      </c>
      <c r="Q6" s="6" t="s">
        <v>390</v>
      </c>
      <c r="R6" s="6" t="s">
        <v>391</v>
      </c>
      <c r="S6" s="6" t="s">
        <v>392</v>
      </c>
      <c r="T6" s="6" t="s">
        <v>393</v>
      </c>
      <c r="U6" s="6" t="s">
        <v>394</v>
      </c>
      <c r="V6" s="6" t="s">
        <v>395</v>
      </c>
      <c r="W6" s="6" t="s">
        <v>396</v>
      </c>
      <c r="X6" s="6" t="s">
        <v>397</v>
      </c>
      <c r="Y6" s="6" t="s">
        <v>398</v>
      </c>
      <c r="Z6" s="6" t="s">
        <v>399</v>
      </c>
      <c r="AA6" s="6" t="s">
        <v>400</v>
      </c>
    </row>
    <row r="7" customFormat="false" ht="15" hidden="false" customHeight="false" outlineLevel="0" collapsed="false">
      <c r="A7" s="16" t="n">
        <v>45839</v>
      </c>
      <c r="B7" s="18" t="n">
        <f aca="false">$B$5*$B$4^1</f>
        <v>159051.061881319</v>
      </c>
      <c r="C7" s="8" t="n">
        <f aca="false">'02 Raw Cost Data'!I12</f>
        <v>157484.696493781</v>
      </c>
      <c r="D7" s="18" t="n">
        <f aca="false">C7-B7</f>
        <v>-1566.36538753888</v>
      </c>
      <c r="E7" s="18" t="n">
        <f aca="false">$E$5*$B$4^1</f>
        <v>87235.6866566756</v>
      </c>
      <c r="F7" s="8" t="n">
        <f aca="false">'02 Raw Cost Data'!J12</f>
        <v>93742.4528006053</v>
      </c>
      <c r="G7" s="18" t="n">
        <f aca="false">F7-E7</f>
        <v>6506.76614392964</v>
      </c>
      <c r="H7" s="18" t="n">
        <f aca="false">$H$5*$B$4^1</f>
        <v>64708.3813688003</v>
      </c>
      <c r="I7" s="8" t="n">
        <f aca="false">'02 Raw Cost Data'!K12</f>
        <v>71220.4688730618</v>
      </c>
      <c r="J7" s="18" t="n">
        <f aca="false">I7-H7</f>
        <v>6512.08750426156</v>
      </c>
      <c r="K7" s="18" t="n">
        <f aca="false">$K$5*$B$4^1</f>
        <v>151962.291490369</v>
      </c>
      <c r="L7" s="8" t="n">
        <f aca="false">'02 Raw Cost Data'!L12</f>
        <v>154568.575099982</v>
      </c>
      <c r="M7" s="18" t="n">
        <f aca="false">L7-K7</f>
        <v>2606.28360961328</v>
      </c>
      <c r="N7" s="18" t="n">
        <f aca="false">$N$5*$B$4^1</f>
        <v>71901.3835534746</v>
      </c>
      <c r="O7" s="8" t="n">
        <f aca="false">'02 Raw Cost Data'!M12</f>
        <v>70392.8494157599</v>
      </c>
      <c r="P7" s="18" t="n">
        <f aca="false">O7-N7</f>
        <v>-1508.53413771473</v>
      </c>
      <c r="Q7" s="18" t="n">
        <f aca="false">$Q$5*$B$4^1</f>
        <v>87279.8226029797</v>
      </c>
      <c r="R7" s="8" t="n">
        <f aca="false">'02 Raw Cost Data'!N12</f>
        <v>97421.9545795657</v>
      </c>
      <c r="S7" s="18" t="n">
        <f aca="false">R7-Q7</f>
        <v>10142.131976586</v>
      </c>
      <c r="T7" s="18" t="n">
        <f aca="false">$T$5*$B$4^1</f>
        <v>75101.186896575</v>
      </c>
      <c r="U7" s="8" t="n">
        <f aca="false">'02 Raw Cost Data'!O12</f>
        <v>78358.7276004966</v>
      </c>
      <c r="V7" s="18" t="n">
        <f aca="false">U7-T7</f>
        <v>3257.54070392156</v>
      </c>
      <c r="W7" s="19" t="n">
        <f aca="false">B7+E7+H7+K7+N7+Q7+T7</f>
        <v>697239.814450194</v>
      </c>
      <c r="X7" s="19" t="n">
        <f aca="false">C7+F7+I7+L7+O7+R7+U7</f>
        <v>723189.724863252</v>
      </c>
      <c r="Y7" s="19" t="n">
        <f aca="false">X7-W7</f>
        <v>25949.9104130585</v>
      </c>
      <c r="Z7" s="45" t="n">
        <f aca="false">IF(W7=0,0,Y7/W7)</f>
        <v>0.0372180559331959</v>
      </c>
      <c r="AA7" s="0" t="str">
        <f aca="false">IF(Z7&gt;0.05,"Unfavourable",IF(Z7&lt;-0.05,"Favourable","On plan"))</f>
        <v>On plan</v>
      </c>
    </row>
    <row r="8" customFormat="false" ht="15" hidden="false" customHeight="false" outlineLevel="0" collapsed="false">
      <c r="A8" s="16" t="n">
        <v>45870</v>
      </c>
      <c r="B8" s="18" t="n">
        <f aca="false">$B$5*$B$4^2</f>
        <v>160914.331857274</v>
      </c>
      <c r="C8" s="8" t="n">
        <f aca="false">'02 Raw Cost Data'!I13</f>
        <v>164579.106825482</v>
      </c>
      <c r="D8" s="18" t="n">
        <f aca="false">C8-B8</f>
        <v>3664.77496820819</v>
      </c>
      <c r="E8" s="18" t="n">
        <f aca="false">$E$5*$B$4^2</f>
        <v>88257.645478305</v>
      </c>
      <c r="F8" s="8" t="n">
        <f aca="false">'02 Raw Cost Data'!J13</f>
        <v>97362.1617629478</v>
      </c>
      <c r="G8" s="18" t="n">
        <f aca="false">F8-E8</f>
        <v>9104.51628464283</v>
      </c>
      <c r="H8" s="18" t="n">
        <f aca="false">$H$5*$B$4^2</f>
        <v>65466.4346805539</v>
      </c>
      <c r="I8" s="8" t="n">
        <f aca="false">'02 Raw Cost Data'!K13</f>
        <v>63816.1229908883</v>
      </c>
      <c r="J8" s="18" t="n">
        <f aca="false">I8-H8</f>
        <v>-1650.31168966569</v>
      </c>
      <c r="K8" s="18" t="n">
        <f aca="false">$K$5*$B$4^2</f>
        <v>153742.517110129</v>
      </c>
      <c r="L8" s="8" t="n">
        <f aca="false">'02 Raw Cost Data'!L13</f>
        <v>143516.314821371</v>
      </c>
      <c r="M8" s="18" t="n">
        <f aca="false">L8-K8</f>
        <v>-10226.2022887588</v>
      </c>
      <c r="N8" s="18" t="n">
        <f aca="false">$N$5*$B$4^2</f>
        <v>72743.7022882261</v>
      </c>
      <c r="O8" s="8" t="n">
        <f aca="false">'02 Raw Cost Data'!M13</f>
        <v>73737.5983423229</v>
      </c>
      <c r="P8" s="18" t="n">
        <f aca="false">O8-N8</f>
        <v>993.896054096796</v>
      </c>
      <c r="Q8" s="18" t="n">
        <f aca="false">$Q$5*$B$4^2</f>
        <v>88302.2984735531</v>
      </c>
      <c r="R8" s="8" t="n">
        <f aca="false">'02 Raw Cost Data'!N13</f>
        <v>100098.435232557</v>
      </c>
      <c r="S8" s="18" t="n">
        <f aca="false">R8-Q8</f>
        <v>11796.1367590037</v>
      </c>
      <c r="T8" s="18" t="n">
        <f aca="false">$T$5*$B$4^2</f>
        <v>75980.9910616508</v>
      </c>
      <c r="U8" s="8" t="n">
        <f aca="false">'02 Raw Cost Data'!O13</f>
        <v>77229.2807717145</v>
      </c>
      <c r="V8" s="18" t="n">
        <f aca="false">U8-T8</f>
        <v>1248.28971006373</v>
      </c>
      <c r="W8" s="19" t="n">
        <f aca="false">B8+E8+H8+K8+N8+Q8+T8</f>
        <v>705407.920949692</v>
      </c>
      <c r="X8" s="19" t="n">
        <f aca="false">C8+F8+I8+L8+O8+R8+U8</f>
        <v>720339.020747283</v>
      </c>
      <c r="Y8" s="19" t="n">
        <f aca="false">X8-W8</f>
        <v>14931.0997975906</v>
      </c>
      <c r="Z8" s="45" t="n">
        <f aca="false">IF(W8=0,0,Y8/W8)</f>
        <v>0.021166617717432</v>
      </c>
      <c r="AA8" s="0" t="str">
        <f aca="false">IF(Z8&gt;0.05,"Unfavourable",IF(Z8&lt;-0.05,"Favourable","On plan"))</f>
        <v>On plan</v>
      </c>
    </row>
    <row r="9" customFormat="false" ht="15" hidden="false" customHeight="false" outlineLevel="0" collapsed="false">
      <c r="A9" s="16" t="n">
        <v>45901</v>
      </c>
      <c r="B9" s="18" t="n">
        <f aca="false">$B$5*$B$4^3</f>
        <v>162799.429886195</v>
      </c>
      <c r="C9" s="8" t="n">
        <f aca="false">'02 Raw Cost Data'!I14</f>
        <v>158979.414393571</v>
      </c>
      <c r="D9" s="18" t="n">
        <f aca="false">C9-B9</f>
        <v>-3820.01549262417</v>
      </c>
      <c r="E9" s="18" t="n">
        <f aca="false">$E$5*$B$4^3</f>
        <v>89291.5764626252</v>
      </c>
      <c r="F9" s="8" t="n">
        <f aca="false">'02 Raw Cost Data'!J14</f>
        <v>92261.5061918523</v>
      </c>
      <c r="G9" s="18" t="n">
        <f aca="false">F9-E9</f>
        <v>2969.92972922712</v>
      </c>
      <c r="H9" s="18" t="n">
        <f aca="false">$H$5*$B$4^3</f>
        <v>66233.3685238756</v>
      </c>
      <c r="I9" s="8" t="n">
        <f aca="false">'02 Raw Cost Data'!K14</f>
        <v>61211.5172013601</v>
      </c>
      <c r="J9" s="18" t="n">
        <f aca="false">I9-H9</f>
        <v>-5021.85132251553</v>
      </c>
      <c r="K9" s="18" t="n">
        <f aca="false">$K$5*$B$4^3</f>
        <v>155543.597925124</v>
      </c>
      <c r="L9" s="8" t="n">
        <f aca="false">'02 Raw Cost Data'!L14</f>
        <v>159667.595837868</v>
      </c>
      <c r="M9" s="18" t="n">
        <f aca="false">L9-K9</f>
        <v>4123.99791274415</v>
      </c>
      <c r="N9" s="18" t="n">
        <f aca="false">$N$5*$B$4^3</f>
        <v>73595.8887169752</v>
      </c>
      <c r="O9" s="8" t="n">
        <f aca="false">'02 Raw Cost Data'!M14</f>
        <v>77160.9571376566</v>
      </c>
      <c r="P9" s="18" t="n">
        <f aca="false">O9-N9</f>
        <v>3565.0684206814</v>
      </c>
      <c r="Q9" s="18" t="n">
        <f aca="false">$Q$5*$B$4^3</f>
        <v>89336.7525640029</v>
      </c>
      <c r="R9" s="8" t="n">
        <f aca="false">'02 Raw Cost Data'!N14</f>
        <v>95928.8624483986</v>
      </c>
      <c r="S9" s="18" t="n">
        <f aca="false">R9-Q9</f>
        <v>6592.10988439567</v>
      </c>
      <c r="T9" s="18" t="n">
        <f aca="false">$T$5*$B$4^3</f>
        <v>76871.1020594261</v>
      </c>
      <c r="U9" s="8" t="n">
        <f aca="false">'02 Raw Cost Data'!O14</f>
        <v>81095.1580094627</v>
      </c>
      <c r="V9" s="18" t="n">
        <f aca="false">U9-T9</f>
        <v>4224.05595003659</v>
      </c>
      <c r="W9" s="19" t="n">
        <f aca="false">B9+E9+H9+K9+N9+Q9+T9</f>
        <v>713671.716138224</v>
      </c>
      <c r="X9" s="19" t="n">
        <f aca="false">C9+F9+I9+L9+O9+R9+U9</f>
        <v>726305.011220169</v>
      </c>
      <c r="Y9" s="19" t="n">
        <f aca="false">X9-W9</f>
        <v>12633.2950819451</v>
      </c>
      <c r="Z9" s="45" t="n">
        <f aca="false">IF(W9=0,0,Y9/W9)</f>
        <v>0.0177018295615043</v>
      </c>
      <c r="AA9" s="0" t="str">
        <f aca="false">IF(Z9&gt;0.05,"Unfavourable",IF(Z9&lt;-0.05,"Favourable","On plan"))</f>
        <v>On plan</v>
      </c>
    </row>
    <row r="10" customFormat="false" ht="15" hidden="false" customHeight="false" outlineLevel="0" collapsed="false">
      <c r="A10" s="16" t="n">
        <v>45931</v>
      </c>
      <c r="B10" s="18" t="n">
        <f aca="false">$B$5*$B$4^4</f>
        <v>164706.611681912</v>
      </c>
      <c r="C10" s="8" t="n">
        <f aca="false">'02 Raw Cost Data'!I15</f>
        <v>173558.541774895</v>
      </c>
      <c r="D10" s="18" t="n">
        <f aca="false">C10-B10</f>
        <v>8851.93009298327</v>
      </c>
      <c r="E10" s="18" t="n">
        <f aca="false">$E$5*$B$4^4</f>
        <v>90337.6198625276</v>
      </c>
      <c r="F10" s="8" t="n">
        <f aca="false">'02 Raw Cost Data'!J15</f>
        <v>111068.969570439</v>
      </c>
      <c r="G10" s="18" t="n">
        <f aca="false">F10-E10</f>
        <v>20731.3497079109</v>
      </c>
      <c r="H10" s="18" t="n">
        <f aca="false">$H$5*$B$4^4</f>
        <v>67009.2869334549</v>
      </c>
      <c r="I10" s="8" t="n">
        <f aca="false">'02 Raw Cost Data'!K15</f>
        <v>61411.7857050718</v>
      </c>
      <c r="J10" s="18" t="n">
        <f aca="false">I10-H10</f>
        <v>-5597.50122838305</v>
      </c>
      <c r="K10" s="18" t="n">
        <f aca="false">$K$5*$B$4^4</f>
        <v>157365.778252232</v>
      </c>
      <c r="L10" s="8" t="n">
        <f aca="false">'02 Raw Cost Data'!L15</f>
        <v>164202.511690717</v>
      </c>
      <c r="M10" s="18" t="n">
        <f aca="false">L10-K10</f>
        <v>6836.73343848504</v>
      </c>
      <c r="N10" s="18" t="n">
        <f aca="false">$N$5*$B$4^4</f>
        <v>74458.0584389373</v>
      </c>
      <c r="O10" s="8" t="n">
        <f aca="false">'02 Raw Cost Data'!M15</f>
        <v>87267.3489761892</v>
      </c>
      <c r="P10" s="18" t="n">
        <f aca="false">O10-N10</f>
        <v>12809.2905372518</v>
      </c>
      <c r="Q10" s="18" t="n">
        <f aca="false">$Q$5*$B$4^4</f>
        <v>90383.3251981797</v>
      </c>
      <c r="R10" s="8" t="n">
        <f aca="false">'02 Raw Cost Data'!N15</f>
        <v>109009.587444051</v>
      </c>
      <c r="S10" s="18" t="n">
        <f aca="false">R10-Q10</f>
        <v>18626.2622458708</v>
      </c>
      <c r="T10" s="18" t="n">
        <f aca="false">$T$5*$B$4^4</f>
        <v>77771.6406335899</v>
      </c>
      <c r="U10" s="8" t="n">
        <f aca="false">'02 Raw Cost Data'!O15</f>
        <v>85190.8190096979</v>
      </c>
      <c r="V10" s="18" t="n">
        <f aca="false">U10-T10</f>
        <v>7419.17837610796</v>
      </c>
      <c r="W10" s="19" t="n">
        <f aca="false">B10+E10+H10+K10+N10+Q10+T10</f>
        <v>722032.321000833</v>
      </c>
      <c r="X10" s="19" t="n">
        <f aca="false">C10+F10+I10+L10+O10+R10+U10</f>
        <v>791709.564171059</v>
      </c>
      <c r="Y10" s="19" t="n">
        <f aca="false">X10-W10</f>
        <v>69677.2431702267</v>
      </c>
      <c r="Z10" s="45" t="n">
        <f aca="false">IF(W10=0,0,Y10/W10)</f>
        <v>0.096501556985212</v>
      </c>
      <c r="AA10" s="0" t="str">
        <f aca="false">IF(Z10&gt;0.05,"Unfavourable",IF(Z10&lt;-0.05,"Favourable","On plan"))</f>
        <v>Unfavourable</v>
      </c>
    </row>
    <row r="11" customFormat="false" ht="15" hidden="false" customHeight="false" outlineLevel="0" collapsed="false">
      <c r="A11" s="16" t="n">
        <v>45962</v>
      </c>
      <c r="B11" s="18" t="n">
        <f aca="false">$B$5*$B$4^5</f>
        <v>166636.135953916</v>
      </c>
      <c r="C11" s="8" t="n">
        <f aca="false">'02 Raw Cost Data'!I16</f>
        <v>170043.122398734</v>
      </c>
      <c r="D11" s="18" t="n">
        <f aca="false">C11-B11</f>
        <v>3406.98644481791</v>
      </c>
      <c r="E11" s="18" t="n">
        <f aca="false">$E$5*$B$4^5</f>
        <v>91395.9175739544</v>
      </c>
      <c r="F11" s="8" t="n">
        <f aca="false">'02 Raw Cost Data'!J16</f>
        <v>132965.797393518</v>
      </c>
      <c r="G11" s="18" t="n">
        <f aca="false">F11-E11</f>
        <v>41569.8798195639</v>
      </c>
      <c r="H11" s="18" t="n">
        <f aca="false">$H$5*$B$4^5</f>
        <v>67794.2951627389</v>
      </c>
      <c r="I11" s="8" t="n">
        <f aca="false">'02 Raw Cost Data'!K16</f>
        <v>58841.3899115619</v>
      </c>
      <c r="J11" s="18" t="n">
        <f aca="false">I11-H11</f>
        <v>-8952.90525117705</v>
      </c>
      <c r="K11" s="18" t="n">
        <f aca="false">$K$5*$B$4^5</f>
        <v>159209.305270485</v>
      </c>
      <c r="L11" s="8" t="n">
        <f aca="false">'02 Raw Cost Data'!L16</f>
        <v>144469.264071004</v>
      </c>
      <c r="M11" s="18" t="n">
        <f aca="false">L11-K11</f>
        <v>-14740.0411994808</v>
      </c>
      <c r="N11" s="18" t="n">
        <f aca="false">$N$5*$B$4^5</f>
        <v>75330.3284075631</v>
      </c>
      <c r="O11" s="8" t="n">
        <f aca="false">'02 Raw Cost Data'!M16</f>
        <v>85378.4664283783</v>
      </c>
      <c r="P11" s="18" t="n">
        <f aca="false">O11-N11</f>
        <v>10048.1380208152</v>
      </c>
      <c r="Q11" s="18" t="n">
        <f aca="false">$Q$5*$B$4^5</f>
        <v>91442.1583438164</v>
      </c>
      <c r="R11" s="8" t="n">
        <f aca="false">'02 Raw Cost Data'!N16</f>
        <v>119213.623555724</v>
      </c>
      <c r="S11" s="18" t="n">
        <f aca="false">R11-Q11</f>
        <v>27771.4652119074</v>
      </c>
      <c r="T11" s="18" t="n">
        <f aca="false">$T$5*$B$4^5</f>
        <v>78682.7289423331</v>
      </c>
      <c r="U11" s="8" t="n">
        <f aca="false">'02 Raw Cost Data'!O16</f>
        <v>90806.4504476426</v>
      </c>
      <c r="V11" s="18" t="n">
        <f aca="false">U11-T11</f>
        <v>12123.7215053095</v>
      </c>
      <c r="W11" s="19" t="n">
        <f aca="false">B11+E11+H11+K11+N11+Q11+T11</f>
        <v>730490.869654806</v>
      </c>
      <c r="X11" s="19" t="n">
        <f aca="false">C11+F11+I11+L11+O11+R11+U11</f>
        <v>801718.114206562</v>
      </c>
      <c r="Y11" s="19" t="n">
        <f aca="false">X11-W11</f>
        <v>71227.2445517561</v>
      </c>
      <c r="Z11" s="45" t="n">
        <f aca="false">IF(W11=0,0,Y11/W11)</f>
        <v>0.097506002484897</v>
      </c>
      <c r="AA11" s="0" t="str">
        <f aca="false">IF(Z11&gt;0.05,"Unfavourable",IF(Z11&lt;-0.05,"Favourable","On plan"))</f>
        <v>Unfavourable</v>
      </c>
    </row>
    <row r="12" customFormat="false" ht="15" hidden="false" customHeight="false" outlineLevel="0" collapsed="false">
      <c r="A12" s="16" t="n">
        <v>45992</v>
      </c>
      <c r="B12" s="18" t="n">
        <f aca="false">$B$5*$B$4^6</f>
        <v>168588.264442461</v>
      </c>
      <c r="C12" s="8" t="n">
        <f aca="false">'02 Raw Cost Data'!I17</f>
        <v>196719.214679928</v>
      </c>
      <c r="D12" s="18" t="n">
        <f aca="false">C12-B12</f>
        <v>28130.9502374667</v>
      </c>
      <c r="E12" s="18" t="n">
        <f aca="false">$E$5*$B$4^6</f>
        <v>92466.613155147</v>
      </c>
      <c r="F12" s="8" t="n">
        <f aca="false">'02 Raw Cost Data'!J17</f>
        <v>126834.234243472</v>
      </c>
      <c r="G12" s="18" t="n">
        <f aca="false">F12-E12</f>
        <v>34367.621088325</v>
      </c>
      <c r="H12" s="18" t="n">
        <f aca="false">$H$5*$B$4^6</f>
        <v>68588.4996982104</v>
      </c>
      <c r="I12" s="8" t="n">
        <f aca="false">'02 Raw Cost Data'!K17</f>
        <v>67374.5644796311</v>
      </c>
      <c r="J12" s="18" t="n">
        <f aca="false">I12-H12</f>
        <v>-1213.93521857933</v>
      </c>
      <c r="K12" s="18" t="n">
        <f aca="false">$K$5*$B$4^6</f>
        <v>161074.429054596</v>
      </c>
      <c r="L12" s="8" t="n">
        <f aca="false">'02 Raw Cost Data'!L17</f>
        <v>179764.624751828</v>
      </c>
      <c r="M12" s="18" t="n">
        <f aca="false">L12-K12</f>
        <v>18690.1956972322</v>
      </c>
      <c r="N12" s="18" t="n">
        <f aca="false">$N$5*$B$4^6</f>
        <v>76212.8169464029</v>
      </c>
      <c r="O12" s="8" t="n">
        <f aca="false">'02 Raw Cost Data'!M17</f>
        <v>77821.1707233315</v>
      </c>
      <c r="P12" s="18" t="n">
        <f aca="false">O12-N12</f>
        <v>1608.35377692853</v>
      </c>
      <c r="Q12" s="18" t="n">
        <f aca="false">$Q$5*$B$4^6</f>
        <v>92513.3956317863</v>
      </c>
      <c r="R12" s="8" t="n">
        <f aca="false">'02 Raw Cost Data'!N17</f>
        <v>113922.086087832</v>
      </c>
      <c r="S12" s="18" t="n">
        <f aca="false">R12-Q12</f>
        <v>21408.6904560455</v>
      </c>
      <c r="T12" s="18" t="n">
        <f aca="false">$T$5*$B$4^6</f>
        <v>79604.4905749199</v>
      </c>
      <c r="U12" s="8" t="n">
        <f aca="false">'02 Raw Cost Data'!O17</f>
        <v>93942.016957413</v>
      </c>
      <c r="V12" s="18" t="n">
        <f aca="false">U12-T12</f>
        <v>14337.5263824931</v>
      </c>
      <c r="W12" s="19" t="n">
        <f aca="false">B12+E12+H12+K12+N12+Q12+T12</f>
        <v>739048.509503524</v>
      </c>
      <c r="X12" s="19" t="n">
        <f aca="false">C12+F12+I12+L12+O12+R12+U12</f>
        <v>856377.911923435</v>
      </c>
      <c r="Y12" s="19" t="n">
        <f aca="false">X12-W12</f>
        <v>117329.402419912</v>
      </c>
      <c r="Z12" s="45" t="n">
        <f aca="false">IF(W12=0,0,Y12/W12)</f>
        <v>0.158757376425441</v>
      </c>
      <c r="AA12" s="0" t="str">
        <f aca="false">IF(Z12&gt;0.05,"Unfavourable",IF(Z12&lt;-0.05,"Favourable","On plan"))</f>
        <v>Unfavourable</v>
      </c>
    </row>
    <row r="13" customFormat="false" ht="15" hidden="false" customHeight="false" outlineLevel="0" collapsed="false">
      <c r="A13" s="16" t="n">
        <v>46023</v>
      </c>
      <c r="B13" s="18" t="n">
        <f aca="false">$B$5*$B$4^7</f>
        <v>170563.261954067</v>
      </c>
      <c r="C13" s="8" t="n">
        <f aca="false">'02 Raw Cost Data'!I18</f>
        <v>198025.434981657</v>
      </c>
      <c r="D13" s="18" t="n">
        <f aca="false">C13-B13</f>
        <v>27462.1730275903</v>
      </c>
      <c r="E13" s="18" t="n">
        <f aca="false">$E$5*$B$4^7</f>
        <v>93549.8518461198</v>
      </c>
      <c r="F13" s="8" t="n">
        <f aca="false">'02 Raw Cost Data'!J18</f>
        <v>102962.322027852</v>
      </c>
      <c r="G13" s="18" t="n">
        <f aca="false">F13-E13</f>
        <v>9412.47018173261</v>
      </c>
      <c r="H13" s="18" t="n">
        <f aca="false">$H$5*$B$4^7</f>
        <v>69392.0082738324</v>
      </c>
      <c r="I13" s="8" t="n">
        <f aca="false">'02 Raw Cost Data'!K18</f>
        <v>68852.6929279438</v>
      </c>
      <c r="J13" s="18" t="n">
        <f aca="false">I13-H13</f>
        <v>-539.31534588855</v>
      </c>
      <c r="K13" s="18" t="n">
        <f aca="false">$K$5*$B$4^7</f>
        <v>162961.402608883</v>
      </c>
      <c r="L13" s="8" t="n">
        <f aca="false">'02 Raw Cost Data'!L18</f>
        <v>181287.505310914</v>
      </c>
      <c r="M13" s="18" t="n">
        <f aca="false">L13-K13</f>
        <v>18326.1027020304</v>
      </c>
      <c r="N13" s="18" t="n">
        <f aca="false">$N$5*$B$4^7</f>
        <v>77105.643765158</v>
      </c>
      <c r="O13" s="8" t="n">
        <f aca="false">'02 Raw Cost Data'!M18</f>
        <v>78034.4954924715</v>
      </c>
      <c r="P13" s="18" t="n">
        <f aca="false">O13-N13</f>
        <v>928.851727313493</v>
      </c>
      <c r="Q13" s="18" t="n">
        <f aca="false">$Q$5*$B$4^7</f>
        <v>93597.1823755862</v>
      </c>
      <c r="R13" s="8" t="n">
        <f aca="false">'02 Raw Cost Data'!N18</f>
        <v>92404.9374837742</v>
      </c>
      <c r="S13" s="18" t="n">
        <f aca="false">R13-Q13</f>
        <v>-1192.24489181202</v>
      </c>
      <c r="T13" s="18" t="n">
        <f aca="false">$T$5*$B$4^7</f>
        <v>80537.0505684523</v>
      </c>
      <c r="U13" s="8" t="n">
        <f aca="false">'02 Raw Cost Data'!O18</f>
        <v>83037.6619653142</v>
      </c>
      <c r="V13" s="18" t="n">
        <f aca="false">U13-T13</f>
        <v>2500.61139686184</v>
      </c>
      <c r="W13" s="19" t="n">
        <f aca="false">B13+E13+H13+K13+N13+Q13+T13</f>
        <v>747706.401392099</v>
      </c>
      <c r="X13" s="19" t="n">
        <f aca="false">C13+F13+I13+L13+O13+R13+U13</f>
        <v>804605.050189927</v>
      </c>
      <c r="Y13" s="19" t="n">
        <f aca="false">X13-W13</f>
        <v>56898.6487978281</v>
      </c>
      <c r="Z13" s="45" t="n">
        <f aca="false">IF(W13=0,0,Y13/W13)</f>
        <v>0.0760975814730124</v>
      </c>
      <c r="AA13" s="0" t="str">
        <f aca="false">IF(Z13&gt;0.05,"Unfavourable",IF(Z13&lt;-0.05,"Favourable","On plan"))</f>
        <v>Unfavourable</v>
      </c>
    </row>
    <row r="14" customFormat="false" ht="15" hidden="false" customHeight="false" outlineLevel="0" collapsed="false">
      <c r="A14" s="16" t="n">
        <v>46054</v>
      </c>
      <c r="B14" s="18" t="n">
        <f aca="false">$B$5*$B$4^8</f>
        <v>172561.396397438</v>
      </c>
      <c r="C14" s="8" t="n">
        <f aca="false">'02 Raw Cost Data'!I19</f>
        <v>172349.583489418</v>
      </c>
      <c r="D14" s="18" t="n">
        <f aca="false">C14-B14</f>
        <v>-211.812908019609</v>
      </c>
      <c r="E14" s="18" t="n">
        <f aca="false">$E$5*$B$4^8</f>
        <v>94645.7805883617</v>
      </c>
      <c r="F14" s="8" t="n">
        <f aca="false">'02 Raw Cost Data'!J19</f>
        <v>93784.6565146211</v>
      </c>
      <c r="G14" s="18" t="n">
        <f aca="false">F14-E14</f>
        <v>-861.124073740619</v>
      </c>
      <c r="H14" s="18" t="n">
        <f aca="false">$H$5*$B$4^8</f>
        <v>70204.9298856621</v>
      </c>
      <c r="I14" s="8" t="n">
        <f aca="false">'02 Raw Cost Data'!K19</f>
        <v>64577.3672237576</v>
      </c>
      <c r="J14" s="18" t="n">
        <f aca="false">I14-H14</f>
        <v>-5627.56266190452</v>
      </c>
      <c r="K14" s="18" t="n">
        <f aca="false">$K$5*$B$4^8</f>
        <v>164870.481901589</v>
      </c>
      <c r="L14" s="8" t="n">
        <f aca="false">'02 Raw Cost Data'!L19</f>
        <v>145215.402928758</v>
      </c>
      <c r="M14" s="18" t="n">
        <f aca="false">L14-K14</f>
        <v>-19655.0789728316</v>
      </c>
      <c r="N14" s="18" t="n">
        <f aca="false">$N$5*$B$4^8</f>
        <v>78008.9299759187</v>
      </c>
      <c r="O14" s="8" t="n">
        <f aca="false">'02 Raw Cost Data'!M19</f>
        <v>67682.0376451216</v>
      </c>
      <c r="P14" s="18" t="n">
        <f aca="false">O14-N14</f>
        <v>-10326.8923307971</v>
      </c>
      <c r="Q14" s="18" t="n">
        <f aca="false">$Q$5*$B$4^8</f>
        <v>94693.6655910486</v>
      </c>
      <c r="R14" s="8" t="n">
        <f aca="false">'02 Raw Cost Data'!N19</f>
        <v>87466.7318819601</v>
      </c>
      <c r="S14" s="18" t="n">
        <f aca="false">R14-Q14</f>
        <v>-7226.93370908847</v>
      </c>
      <c r="T14" s="18" t="n">
        <f aca="false">$T$5*$B$4^8</f>
        <v>81480.5354248318</v>
      </c>
      <c r="U14" s="8" t="n">
        <f aca="false">'02 Raw Cost Data'!O19</f>
        <v>77358.6495100386</v>
      </c>
      <c r="V14" s="18" t="n">
        <f aca="false">U14-T14</f>
        <v>-4121.88591479314</v>
      </c>
      <c r="W14" s="19" t="n">
        <f aca="false">B14+E14+H14+K14+N14+Q14+T14</f>
        <v>756465.71976485</v>
      </c>
      <c r="X14" s="19" t="n">
        <f aca="false">C14+F14+I14+L14+O14+R14+U14</f>
        <v>708434.429193675</v>
      </c>
      <c r="Y14" s="19" t="n">
        <f aca="false">X14-W14</f>
        <v>-48031.2905711749</v>
      </c>
      <c r="Z14" s="45" t="n">
        <f aca="false">IF(W14=0,0,Y14/W14)</f>
        <v>-0.0634943386279363</v>
      </c>
      <c r="AA14" s="0" t="str">
        <f aca="false">IF(Z14&gt;0.05,"Unfavourable",IF(Z14&lt;-0.05,"Favourable","On plan"))</f>
        <v>Favourable</v>
      </c>
    </row>
    <row r="15" customFormat="false" ht="15" hidden="false" customHeight="false" outlineLevel="0" collapsed="false">
      <c r="A15" s="16" t="n">
        <v>46082</v>
      </c>
      <c r="B15" s="18" t="n">
        <f aca="false">$B$5*$B$4^9</f>
        <v>174582.938819808</v>
      </c>
      <c r="C15" s="8" t="n">
        <f aca="false">'02 Raw Cost Data'!I20</f>
        <v>207714.891818337</v>
      </c>
      <c r="D15" s="18" t="n">
        <f aca="false">C15-B15</f>
        <v>33131.9529985293</v>
      </c>
      <c r="E15" s="18" t="n">
        <f aca="false">$E$5*$B$4^9</f>
        <v>95754.548044769</v>
      </c>
      <c r="F15" s="8" t="n">
        <f aca="false">'02 Raw Cost Data'!J20</f>
        <v>107075.445180782</v>
      </c>
      <c r="G15" s="18" t="n">
        <f aca="false">F15-E15</f>
        <v>11320.8971360127</v>
      </c>
      <c r="H15" s="18" t="n">
        <f aca="false">$H$5*$B$4^9</f>
        <v>71027.3748066367</v>
      </c>
      <c r="I15" s="8" t="n">
        <f aca="false">'02 Raw Cost Data'!K20</f>
        <v>74857.5748555818</v>
      </c>
      <c r="J15" s="18" t="n">
        <f aca="false">I15-H15</f>
        <v>3830.20004894512</v>
      </c>
      <c r="K15" s="18" t="n">
        <f aca="false">$K$5*$B$4^9</f>
        <v>166801.925899602</v>
      </c>
      <c r="L15" s="8" t="n">
        <f aca="false">'02 Raw Cost Data'!L20</f>
        <v>219042.945320916</v>
      </c>
      <c r="M15" s="18" t="n">
        <f aca="false">L15-K15</f>
        <v>52241.0194213137</v>
      </c>
      <c r="N15" s="18" t="n">
        <f aca="false">$N$5*$B$4^9</f>
        <v>78922.7981095932</v>
      </c>
      <c r="O15" s="8" t="n">
        <f aca="false">'02 Raw Cost Data'!M20</f>
        <v>74464.0145383124</v>
      </c>
      <c r="P15" s="18" t="n">
        <f aca="false">O15-N15</f>
        <v>-4458.78357128082</v>
      </c>
      <c r="Q15" s="18" t="n">
        <f aca="false">$Q$5*$B$4^9</f>
        <v>95802.9940162841</v>
      </c>
      <c r="R15" s="8" t="n">
        <f aca="false">'02 Raw Cost Data'!N20</f>
        <v>100600.740739173</v>
      </c>
      <c r="S15" s="18" t="n">
        <f aca="false">R15-Q15</f>
        <v>4797.74672288931</v>
      </c>
      <c r="T15" s="18" t="n">
        <f aca="false">$T$5*$B$4^9</f>
        <v>82435.0731279188</v>
      </c>
      <c r="U15" s="8" t="n">
        <f aca="false">'02 Raw Cost Data'!O20</f>
        <v>86338.6019182901</v>
      </c>
      <c r="V15" s="18" t="n">
        <f aca="false">U15-T15</f>
        <v>3903.52879037129</v>
      </c>
      <c r="W15" s="19" t="n">
        <f aca="false">B15+E15+H15+K15+N15+Q15+T15</f>
        <v>765327.652824612</v>
      </c>
      <c r="X15" s="19" t="n">
        <f aca="false">C15+F15+I15+L15+O15+R15+U15</f>
        <v>870094.214371393</v>
      </c>
      <c r="Y15" s="19" t="n">
        <f aca="false">X15-W15</f>
        <v>104766.561546781</v>
      </c>
      <c r="Z15" s="45" t="n">
        <f aca="false">IF(W15=0,0,Y15/W15)</f>
        <v>0.136891122593201</v>
      </c>
      <c r="AA15" s="0" t="str">
        <f aca="false">IF(Z15&gt;0.05,"Unfavourable",IF(Z15&lt;-0.05,"Favourable","On plan"))</f>
        <v>Unfavourable</v>
      </c>
    </row>
    <row r="16" customFormat="false" ht="15" hidden="false" customHeight="false" outlineLevel="0" collapsed="false">
      <c r="A16" s="16" t="n">
        <v>46113</v>
      </c>
      <c r="B16" s="18" t="n">
        <f aca="false">$B$5*$B$4^10</f>
        <v>176628.163443706</v>
      </c>
      <c r="C16" s="8" t="n">
        <f aca="false">'02 Raw Cost Data'!I21</f>
        <v>215101.334819773</v>
      </c>
      <c r="D16" s="18" t="n">
        <f aca="false">C16-B16</f>
        <v>38473.171376067</v>
      </c>
      <c r="E16" s="18" t="n">
        <f aca="false">$E$5*$B$4^10</f>
        <v>96876.3046198116</v>
      </c>
      <c r="F16" s="8" t="n">
        <f aca="false">'02 Raw Cost Data'!J21</f>
        <v>99504.5953470621</v>
      </c>
      <c r="G16" s="18" t="n">
        <f aca="false">F16-E16</f>
        <v>2628.29072725055</v>
      </c>
      <c r="H16" s="18" t="n">
        <f aca="false">$H$5*$B$4^10</f>
        <v>71859.4546015318</v>
      </c>
      <c r="I16" s="8" t="n">
        <f aca="false">'02 Raw Cost Data'!K21</f>
        <v>78120.4239153631</v>
      </c>
      <c r="J16" s="18" t="n">
        <f aca="false">I16-H16</f>
        <v>6260.96931383132</v>
      </c>
      <c r="K16" s="18" t="n">
        <f aca="false">$K$5*$B$4^10</f>
        <v>168755.996603588</v>
      </c>
      <c r="L16" s="8" t="n">
        <f aca="false">'02 Raw Cost Data'!L21</f>
        <v>239549.439585107</v>
      </c>
      <c r="M16" s="18" t="n">
        <f aca="false">L16-K16</f>
        <v>70793.4429815195</v>
      </c>
      <c r="N16" s="18" t="n">
        <f aca="false">$N$5*$B$4^10</f>
        <v>79847.3721325295</v>
      </c>
      <c r="O16" s="8" t="n">
        <f aca="false">'02 Raw Cost Data'!M21</f>
        <v>72718.1095108863</v>
      </c>
      <c r="P16" s="18" t="n">
        <f aca="false">O16-N16</f>
        <v>-7129.26262164318</v>
      </c>
      <c r="Q16" s="18" t="n">
        <f aca="false">$Q$5*$B$4^10</f>
        <v>96925.3181318581</v>
      </c>
      <c r="R16" s="8" t="n">
        <f aca="false">'02 Raw Cost Data'!N21</f>
        <v>94561.9202840399</v>
      </c>
      <c r="S16" s="18" t="n">
        <f aca="false">R16-Q16</f>
        <v>-2363.39784781821</v>
      </c>
      <c r="T16" s="18" t="n">
        <f aca="false">$T$5*$B$4^10</f>
        <v>83400.7931608944</v>
      </c>
      <c r="U16" s="8" t="n">
        <f aca="false">'02 Raw Cost Data'!O21</f>
        <v>81252.9155873846</v>
      </c>
      <c r="V16" s="18" t="n">
        <f aca="false">U16-T16</f>
        <v>-2147.8775735098</v>
      </c>
      <c r="W16" s="19" t="n">
        <f aca="false">B16+E16+H16+K16+N16+Q16+T16</f>
        <v>774293.402693919</v>
      </c>
      <c r="X16" s="19" t="n">
        <f aca="false">C16+F16+I16+L16+O16+R16+U16</f>
        <v>880808.739049616</v>
      </c>
      <c r="Y16" s="19" t="n">
        <f aca="false">X16-W16</f>
        <v>106515.336355697</v>
      </c>
      <c r="Z16" s="45" t="n">
        <f aca="false">IF(W16=0,0,Y16/W16)</f>
        <v>0.13756456659079</v>
      </c>
      <c r="AA16" s="0" t="str">
        <f aca="false">IF(Z16&gt;0.05,"Unfavourable",IF(Z16&lt;-0.05,"Favourable","On plan"))</f>
        <v>Unfavourable</v>
      </c>
    </row>
    <row r="17" customFormat="false" ht="15" hidden="false" customHeight="false" outlineLevel="0" collapsed="false">
      <c r="A17" s="16" t="n">
        <v>46143</v>
      </c>
      <c r="B17" s="18" t="n">
        <f aca="false">$B$5*$B$4^11</f>
        <v>178697.347704155</v>
      </c>
      <c r="C17" s="8" t="n">
        <f aca="false">'02 Raw Cost Data'!I22</f>
        <v>199289.574781579</v>
      </c>
      <c r="D17" s="18" t="n">
        <f aca="false">C17-B17</f>
        <v>20592.227077424</v>
      </c>
      <c r="E17" s="18" t="n">
        <f aca="false">$E$5*$B$4^11</f>
        <v>98011.2024799351</v>
      </c>
      <c r="F17" s="8" t="n">
        <f aca="false">'02 Raw Cost Data'!J22</f>
        <v>107902.815874817</v>
      </c>
      <c r="G17" s="18" t="n">
        <f aca="false">F17-E17</f>
        <v>9891.61339488142</v>
      </c>
      <c r="H17" s="18" t="n">
        <f aca="false">$H$5*$B$4^11</f>
        <v>72701.2821420947</v>
      </c>
      <c r="I17" s="8" t="n">
        <f aca="false">'02 Raw Cost Data'!K22</f>
        <v>79901.8988019935</v>
      </c>
      <c r="J17" s="18" t="n">
        <f aca="false">I17-H17</f>
        <v>7200.61665989882</v>
      </c>
      <c r="K17" s="18" t="n">
        <f aca="false">$K$5*$B$4^11</f>
        <v>170732.959083526</v>
      </c>
      <c r="L17" s="8" t="n">
        <f aca="false">'02 Raw Cost Data'!L22</f>
        <v>182830.560650403</v>
      </c>
      <c r="M17" s="18" t="n">
        <f aca="false">L17-K17</f>
        <v>12097.6015668772</v>
      </c>
      <c r="N17" s="18" t="n">
        <f aca="false">$N$5*$B$4^11</f>
        <v>80782.7774633307</v>
      </c>
      <c r="O17" s="8" t="n">
        <f aca="false">'02 Raw Cost Data'!M22</f>
        <v>77319.3466343484</v>
      </c>
      <c r="P17" s="18" t="n">
        <f aca="false">O17-N17</f>
        <v>-3463.43082898228</v>
      </c>
      <c r="Q17" s="18" t="n">
        <f aca="false">$Q$5*$B$4^11</f>
        <v>98060.7901812032</v>
      </c>
      <c r="R17" s="8" t="n">
        <f aca="false">'02 Raw Cost Data'!N22</f>
        <v>102550.649763231</v>
      </c>
      <c r="S17" s="18" t="n">
        <f aca="false">R17-Q17</f>
        <v>4489.85958202803</v>
      </c>
      <c r="T17" s="18" t="n">
        <f aca="false">$T$5*$B$4^11</f>
        <v>84377.8265238242</v>
      </c>
      <c r="U17" s="8" t="n">
        <f aca="false">'02 Raw Cost Data'!O22</f>
        <v>87225.1646952138</v>
      </c>
      <c r="V17" s="18" t="n">
        <f aca="false">U17-T17</f>
        <v>2847.33817138965</v>
      </c>
      <c r="W17" s="19" t="n">
        <f aca="false">B17+E17+H17+K17+N17+Q17+T17</f>
        <v>783364.185578069</v>
      </c>
      <c r="X17" s="19" t="n">
        <f aca="false">C17+F17+I17+L17+O17+R17+U17</f>
        <v>837020.011201586</v>
      </c>
      <c r="Y17" s="19" t="n">
        <f aca="false">X17-W17</f>
        <v>53655.8256235169</v>
      </c>
      <c r="Z17" s="45" t="n">
        <f aca="false">IF(W17=0,0,Y17/W17)</f>
        <v>0.0684941009703202</v>
      </c>
      <c r="AA17" s="0" t="str">
        <f aca="false">IF(Z17&gt;0.05,"Unfavourable",IF(Z17&lt;-0.05,"Favourable","On plan"))</f>
        <v>Unfavourable</v>
      </c>
    </row>
    <row r="18" customFormat="false" ht="15" hidden="false" customHeight="false" outlineLevel="0" collapsed="false">
      <c r="A18" s="9" t="s">
        <v>82</v>
      </c>
      <c r="B18" s="23" t="n">
        <f aca="false">SUM(B7:B17)</f>
        <v>1855728.94402225</v>
      </c>
      <c r="C18" s="23" t="n">
        <f aca="false">SUM(C7:C17)</f>
        <v>2013844.91645715</v>
      </c>
      <c r="D18" s="23" t="n">
        <f aca="false">SUM(D7:D17)</f>
        <v>158115.972434904</v>
      </c>
      <c r="E18" s="23" t="n">
        <f aca="false">SUM(E7:E17)</f>
        <v>1017822.74676823</v>
      </c>
      <c r="F18" s="23" t="n">
        <f aca="false">SUM(F7:F17)</f>
        <v>1165464.95690797</v>
      </c>
      <c r="G18" s="23" t="n">
        <f aca="false">SUM(G7:G17)</f>
        <v>147642.210139736</v>
      </c>
      <c r="H18" s="23" t="n">
        <f aca="false">SUM(H7:H17)</f>
        <v>754985.316077392</v>
      </c>
      <c r="I18" s="23" t="n">
        <f aca="false">SUM(I7:I17)</f>
        <v>750185.806886215</v>
      </c>
      <c r="J18" s="23" t="n">
        <f aca="false">SUM(J7:J17)</f>
        <v>-4799.50919117691</v>
      </c>
      <c r="K18" s="23" t="n">
        <f aca="false">SUM(K7:K17)</f>
        <v>1773020.68520012</v>
      </c>
      <c r="L18" s="23" t="n">
        <f aca="false">SUM(L7:L17)</f>
        <v>1914114.74006887</v>
      </c>
      <c r="M18" s="23" t="n">
        <f aca="false">SUM(M7:M17)</f>
        <v>141094.054868744</v>
      </c>
      <c r="N18" s="23" t="n">
        <f aca="false">SUM(N7:N17)</f>
        <v>838909.699798109</v>
      </c>
      <c r="O18" s="23" t="n">
        <f aca="false">SUM(O7:O17)</f>
        <v>841976.394844778</v>
      </c>
      <c r="P18" s="23" t="n">
        <f aca="false">SUM(P7:P17)</f>
        <v>3066.69504666918</v>
      </c>
      <c r="Q18" s="23" t="n">
        <f aca="false">SUM(Q7:Q17)</f>
        <v>1018337.7031103</v>
      </c>
      <c r="R18" s="23" t="n">
        <f aca="false">SUM(R7:R17)</f>
        <v>1113179.52950031</v>
      </c>
      <c r="S18" s="23" t="n">
        <f aca="false">SUM(S7:S17)</f>
        <v>94841.8263900077</v>
      </c>
      <c r="T18" s="23" t="n">
        <f aca="false">SUM(T7:T17)</f>
        <v>876243.418974416</v>
      </c>
      <c r="U18" s="23" t="n">
        <f aca="false">SUM(U7:U17)</f>
        <v>921835.446472669</v>
      </c>
      <c r="V18" s="23" t="n">
        <f aca="false">SUM(V7:V17)</f>
        <v>45592.0274982523</v>
      </c>
      <c r="W18" s="23" t="n">
        <f aca="false">SUM(W7:W17)</f>
        <v>8135048.51395082</v>
      </c>
      <c r="X18" s="23" t="n">
        <f aca="false">SUM(X7:X17)</f>
        <v>8720601.79113796</v>
      </c>
      <c r="Y18" s="23" t="n">
        <f aca="false">SUM(Y7:Y17)</f>
        <v>585553.277187137</v>
      </c>
      <c r="Z18" s="46" t="n">
        <f aca="false">IF(W18=0,0,Y18/W18)</f>
        <v>0.0719790762382018</v>
      </c>
    </row>
    <row r="20" customFormat="false" ht="15" hidden="false" customHeight="false" outlineLevel="0" collapsed="false">
      <c r="A20" s="2" t="s">
        <v>401</v>
      </c>
    </row>
  </sheetData>
  <conditionalFormatting sqref="Z7:Z18">
    <cfRule type="cellIs" priority="2" operator="greaterThan" aboveAverage="0" equalAverage="0" bottom="0" percent="0" rank="0" text="" dxfId="0">
      <formula>0.05</formula>
    </cfRule>
    <cfRule type="cellIs" priority="3" operator="lessThan" aboveAverage="0" equalAverage="0" bottom="0" percent="0" rank="0" text="" dxfId="1">
      <formula>-0.05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1" min="2" style="0" width="14"/>
  </cols>
  <sheetData>
    <row r="1" customFormat="false" ht="19.7" hidden="false" customHeight="false" outlineLevel="0" collapsed="false">
      <c r="A1" s="1" t="s">
        <v>402</v>
      </c>
    </row>
    <row r="2" customFormat="false" ht="15" hidden="false" customHeight="false" outlineLevel="0" collapsed="false">
      <c r="A2" s="2" t="s">
        <v>403</v>
      </c>
    </row>
    <row r="3" customFormat="false" ht="15" hidden="false" customHeight="false" outlineLevel="0" collapsed="false">
      <c r="A3" s="3" t="s">
        <v>2</v>
      </c>
    </row>
    <row r="6" customFormat="false" ht="15" hidden="false" customHeight="false" outlineLevel="0" collapsed="false">
      <c r="A6" s="5" t="s">
        <v>404</v>
      </c>
      <c r="B6" s="44" t="n">
        <f aca="false">(1+'10 Assumptions'!$B$38)^(1/12)</f>
        <v>1.01171491691985</v>
      </c>
    </row>
    <row r="7" customFormat="false" ht="15" hidden="false" customHeight="false" outlineLevel="0" collapsed="false">
      <c r="A7" s="5" t="s">
        <v>405</v>
      </c>
      <c r="B7" s="8" t="n">
        <f aca="false">AVERAGE('02 Raw Cost Data'!P20:P22)</f>
        <v>862640.988207532</v>
      </c>
    </row>
    <row r="8" customFormat="false" ht="30" hidden="false" customHeight="true" outlineLevel="0" collapsed="false">
      <c r="A8" s="6" t="s">
        <v>69</v>
      </c>
      <c r="B8" s="6" t="s">
        <v>406</v>
      </c>
      <c r="C8" s="6" t="s">
        <v>407</v>
      </c>
      <c r="D8" s="6" t="s">
        <v>408</v>
      </c>
      <c r="E8" s="6" t="s">
        <v>409</v>
      </c>
      <c r="F8" s="6" t="s">
        <v>410</v>
      </c>
      <c r="G8" s="6" t="s">
        <v>411</v>
      </c>
      <c r="H8" s="6" t="s">
        <v>412</v>
      </c>
      <c r="I8" s="6" t="s">
        <v>413</v>
      </c>
      <c r="J8" s="6" t="s">
        <v>414</v>
      </c>
      <c r="K8" s="6" t="s">
        <v>415</v>
      </c>
    </row>
    <row r="9" customFormat="false" ht="15" hidden="false" customHeight="false" outlineLevel="0" collapsed="false">
      <c r="A9" s="16" t="n">
        <v>46174</v>
      </c>
      <c r="B9" s="18" t="n">
        <f aca="false">MAX(0,FORECAST(18,'02 Raw Cost Data'!$I$6:$I$22,'02 Raw Cost Data'!$H$6:$H$22))</f>
        <v>207745.845296339</v>
      </c>
      <c r="C9" s="18" t="n">
        <f aca="false">MAX(0,FORECAST(18,'02 Raw Cost Data'!$J$6:$J$22,'02 Raw Cost Data'!$H$6:$H$22))</f>
        <v>116352.857654298</v>
      </c>
      <c r="D9" s="18" t="n">
        <f aca="false">MAX(0,FORECAST(18,'02 Raw Cost Data'!$K$6:$K$22,'02 Raw Cost Data'!$H$6:$H$22))</f>
        <v>74573.1724290894</v>
      </c>
      <c r="E9" s="18" t="n">
        <f aca="false">MAX(0,FORECAST(18,'02 Raw Cost Data'!$L$6:$L$22,'02 Raw Cost Data'!$H$6:$H$22))</f>
        <v>200417.063298041</v>
      </c>
      <c r="F9" s="18" t="n">
        <f aca="false">MAX(0,FORECAST(18,'02 Raw Cost Data'!$M$6:$M$22,'02 Raw Cost Data'!$H$6:$H$22))</f>
        <v>78415.899479956</v>
      </c>
      <c r="G9" s="18" t="n">
        <f aca="false">MAX(0,FORECAST(18,'02 Raw Cost Data'!$N$6:$N$22,'02 Raw Cost Data'!$H$6:$H$22))</f>
        <v>106842.678148529</v>
      </c>
      <c r="H9" s="18" t="n">
        <f aca="false">MAX(0,FORECAST(18,'02 Raw Cost Data'!$O$6:$O$22,'02 Raw Cost Data'!$H$6:$H$22))</f>
        <v>89642.278615873</v>
      </c>
      <c r="I9" s="19" t="n">
        <f aca="false">SUM(B9:H9)</f>
        <v>873989.794922125</v>
      </c>
      <c r="J9" s="18" t="n">
        <f aca="false">$B$7*$B$6^1</f>
        <v>872746.755716043</v>
      </c>
      <c r="K9" s="18" t="n">
        <f aca="false">J9-I9</f>
        <v>-1243.039206082</v>
      </c>
    </row>
    <row r="10" customFormat="false" ht="15" hidden="false" customHeight="false" outlineLevel="0" collapsed="false">
      <c r="A10" s="16" t="n">
        <v>46204</v>
      </c>
      <c r="B10" s="18" t="n">
        <f aca="false">MAX(0,FORECAST(19,'02 Raw Cost Data'!$I$6:$I$22,'02 Raw Cost Data'!$H$6:$H$22))</f>
        <v>211501.258697305</v>
      </c>
      <c r="C10" s="18" t="n">
        <f aca="false">MAX(0,FORECAST(19,'02 Raw Cost Data'!$J$6:$J$22,'02 Raw Cost Data'!$H$6:$H$22))</f>
        <v>118282.140366728</v>
      </c>
      <c r="D10" s="18" t="n">
        <f aca="false">MAX(0,FORECAST(19,'02 Raw Cost Data'!$K$6:$K$22,'02 Raw Cost Data'!$H$6:$H$22))</f>
        <v>75447.705042533</v>
      </c>
      <c r="E10" s="18" t="n">
        <f aca="false">MAX(0,FORECAST(19,'02 Raw Cost Data'!$L$6:$L$22,'02 Raw Cost Data'!$H$6:$H$22))</f>
        <v>204284.770870132</v>
      </c>
      <c r="F10" s="18" t="n">
        <f aca="false">MAX(0,FORECAST(19,'02 Raw Cost Data'!$M$6:$M$22,'02 Raw Cost Data'!$H$6:$H$22))</f>
        <v>78838.6510276822</v>
      </c>
      <c r="G10" s="18" t="n">
        <f aca="false">MAX(0,FORECAST(19,'02 Raw Cost Data'!$N$6:$N$22,'02 Raw Cost Data'!$H$6:$H$22))</f>
        <v>108055.298289085</v>
      </c>
      <c r="H10" s="18" t="n">
        <f aca="false">MAX(0,FORECAST(19,'02 Raw Cost Data'!$O$6:$O$22,'02 Raw Cost Data'!$H$6:$H$22))</f>
        <v>90666.4215484572</v>
      </c>
      <c r="I10" s="19" t="n">
        <f aca="false">SUM(B10:H10)</f>
        <v>887076.245841922</v>
      </c>
      <c r="J10" s="18" t="n">
        <f aca="false">$B$7*$B$6^2</f>
        <v>882970.911451328</v>
      </c>
      <c r="K10" s="18" t="n">
        <f aca="false">J10-I10</f>
        <v>-4105.33439059381</v>
      </c>
    </row>
    <row r="11" customFormat="false" ht="15" hidden="false" customHeight="false" outlineLevel="0" collapsed="false">
      <c r="A11" s="16" t="n">
        <v>46235</v>
      </c>
      <c r="B11" s="18" t="n">
        <f aca="false">MAX(0,FORECAST(20,'02 Raw Cost Data'!$I$6:$I$22,'02 Raw Cost Data'!$H$6:$H$22))</f>
        <v>215256.67209827</v>
      </c>
      <c r="C11" s="18" t="n">
        <f aca="false">MAX(0,FORECAST(20,'02 Raw Cost Data'!$J$6:$J$22,'02 Raw Cost Data'!$H$6:$H$22))</f>
        <v>120211.423079159</v>
      </c>
      <c r="D11" s="18" t="n">
        <f aca="false">MAX(0,FORECAST(20,'02 Raw Cost Data'!$K$6:$K$22,'02 Raw Cost Data'!$H$6:$H$22))</f>
        <v>76322.2376559767</v>
      </c>
      <c r="E11" s="18" t="n">
        <f aca="false">MAX(0,FORECAST(20,'02 Raw Cost Data'!$L$6:$L$22,'02 Raw Cost Data'!$H$6:$H$22))</f>
        <v>208152.478442223</v>
      </c>
      <c r="F11" s="18" t="n">
        <f aca="false">MAX(0,FORECAST(20,'02 Raw Cost Data'!$M$6:$M$22,'02 Raw Cost Data'!$H$6:$H$22))</f>
        <v>79261.4025754084</v>
      </c>
      <c r="G11" s="18" t="n">
        <f aca="false">MAX(0,FORECAST(20,'02 Raw Cost Data'!$N$6:$N$22,'02 Raw Cost Data'!$H$6:$H$22))</f>
        <v>109267.918429641</v>
      </c>
      <c r="H11" s="18" t="n">
        <f aca="false">MAX(0,FORECAST(20,'02 Raw Cost Data'!$O$6:$O$22,'02 Raw Cost Data'!$H$6:$H$22))</f>
        <v>91690.5644810413</v>
      </c>
      <c r="I11" s="19" t="n">
        <f aca="false">SUM(B11:H11)</f>
        <v>900162.696761719</v>
      </c>
      <c r="J11" s="18" t="n">
        <f aca="false">$B$7*$B$6^3</f>
        <v>893314.842321627</v>
      </c>
      <c r="K11" s="18" t="n">
        <f aca="false">J11-I11</f>
        <v>-6847.85444009129</v>
      </c>
    </row>
    <row r="12" customFormat="false" ht="15" hidden="false" customHeight="false" outlineLevel="0" collapsed="false">
      <c r="A12" s="16" t="n">
        <v>46266</v>
      </c>
      <c r="B12" s="18" t="n">
        <f aca="false">MAX(0,FORECAST(21,'02 Raw Cost Data'!$I$6:$I$22,'02 Raw Cost Data'!$H$6:$H$22))</f>
        <v>219012.085499235</v>
      </c>
      <c r="C12" s="18" t="n">
        <f aca="false">MAX(0,FORECAST(21,'02 Raw Cost Data'!$J$6:$J$22,'02 Raw Cost Data'!$H$6:$H$22))</f>
        <v>122140.705791589</v>
      </c>
      <c r="D12" s="18" t="n">
        <f aca="false">MAX(0,FORECAST(21,'02 Raw Cost Data'!$K$6:$K$22,'02 Raw Cost Data'!$H$6:$H$22))</f>
        <v>77196.7702694204</v>
      </c>
      <c r="E12" s="18" t="n">
        <f aca="false">MAX(0,FORECAST(21,'02 Raw Cost Data'!$L$6:$L$22,'02 Raw Cost Data'!$H$6:$H$22))</f>
        <v>212020.186014315</v>
      </c>
      <c r="F12" s="18" t="n">
        <f aca="false">MAX(0,FORECAST(21,'02 Raw Cost Data'!$M$6:$M$22,'02 Raw Cost Data'!$H$6:$H$22))</f>
        <v>79684.1541231347</v>
      </c>
      <c r="G12" s="18" t="n">
        <f aca="false">MAX(0,FORECAST(21,'02 Raw Cost Data'!$N$6:$N$22,'02 Raw Cost Data'!$H$6:$H$22))</f>
        <v>110480.538570196</v>
      </c>
      <c r="H12" s="18" t="n">
        <f aca="false">MAX(0,FORECAST(21,'02 Raw Cost Data'!$O$6:$O$22,'02 Raw Cost Data'!$H$6:$H$22))</f>
        <v>92714.7074136254</v>
      </c>
      <c r="I12" s="19" t="n">
        <f aca="false">SUM(B12:H12)</f>
        <v>913249.147681516</v>
      </c>
      <c r="J12" s="18" t="n">
        <f aca="false">$B$7*$B$6^4</f>
        <v>903779.951482697</v>
      </c>
      <c r="K12" s="18" t="n">
        <f aca="false">J12-I12</f>
        <v>-9469.19619881839</v>
      </c>
    </row>
    <row r="13" customFormat="false" ht="15" hidden="false" customHeight="false" outlineLevel="0" collapsed="false">
      <c r="A13" s="16" t="n">
        <v>46296</v>
      </c>
      <c r="B13" s="18" t="n">
        <f aca="false">MAX(0,FORECAST(22,'02 Raw Cost Data'!$I$6:$I$22,'02 Raw Cost Data'!$H$6:$H$22))</f>
        <v>222767.498900201</v>
      </c>
      <c r="C13" s="18" t="n">
        <f aca="false">MAX(0,FORECAST(22,'02 Raw Cost Data'!$J$6:$J$22,'02 Raw Cost Data'!$H$6:$H$22))</f>
        <v>124069.988504019</v>
      </c>
      <c r="D13" s="18" t="n">
        <f aca="false">MAX(0,FORECAST(22,'02 Raw Cost Data'!$K$6:$K$22,'02 Raw Cost Data'!$H$6:$H$22))</f>
        <v>78071.302882864</v>
      </c>
      <c r="E13" s="18" t="n">
        <f aca="false">MAX(0,FORECAST(22,'02 Raw Cost Data'!$L$6:$L$22,'02 Raw Cost Data'!$H$6:$H$22))</f>
        <v>215887.893586406</v>
      </c>
      <c r="F13" s="18" t="n">
        <f aca="false">MAX(0,FORECAST(22,'02 Raw Cost Data'!$M$6:$M$22,'02 Raw Cost Data'!$H$6:$H$22))</f>
        <v>80106.9056708609</v>
      </c>
      <c r="G13" s="18" t="n">
        <f aca="false">MAX(0,FORECAST(22,'02 Raw Cost Data'!$N$6:$N$22,'02 Raw Cost Data'!$H$6:$H$22))</f>
        <v>111693.158710752</v>
      </c>
      <c r="H13" s="18" t="n">
        <f aca="false">MAX(0,FORECAST(22,'02 Raw Cost Data'!$O$6:$O$22,'02 Raw Cost Data'!$H$6:$H$22))</f>
        <v>93738.8503462096</v>
      </c>
      <c r="I13" s="19" t="n">
        <f aca="false">SUM(B13:H13)</f>
        <v>926335.598601313</v>
      </c>
      <c r="J13" s="18" t="n">
        <f aca="false">$B$7*$B$6^5</f>
        <v>914367.658528146</v>
      </c>
      <c r="K13" s="18" t="n">
        <f aca="false">J13-I13</f>
        <v>-11967.9400731665</v>
      </c>
    </row>
    <row r="14" customFormat="false" ht="15" hidden="false" customHeight="false" outlineLevel="0" collapsed="false">
      <c r="A14" s="16" t="n">
        <v>46327</v>
      </c>
      <c r="B14" s="18" t="n">
        <f aca="false">MAX(0,FORECAST(23,'02 Raw Cost Data'!$I$6:$I$22,'02 Raw Cost Data'!$H$6:$H$22))</f>
        <v>226522.912301166</v>
      </c>
      <c r="C14" s="18" t="n">
        <f aca="false">MAX(0,FORECAST(23,'02 Raw Cost Data'!$J$6:$J$22,'02 Raw Cost Data'!$H$6:$H$22))</f>
        <v>125999.27121645</v>
      </c>
      <c r="D14" s="18" t="n">
        <f aca="false">MAX(0,FORECAST(23,'02 Raw Cost Data'!$K$6:$K$22,'02 Raw Cost Data'!$H$6:$H$22))</f>
        <v>78945.8354963077</v>
      </c>
      <c r="E14" s="18" t="n">
        <f aca="false">MAX(0,FORECAST(23,'02 Raw Cost Data'!$L$6:$L$22,'02 Raw Cost Data'!$H$6:$H$22))</f>
        <v>219755.601158497</v>
      </c>
      <c r="F14" s="18" t="n">
        <f aca="false">MAX(0,FORECAST(23,'02 Raw Cost Data'!$M$6:$M$22,'02 Raw Cost Data'!$H$6:$H$22))</f>
        <v>80529.6572185872</v>
      </c>
      <c r="G14" s="18" t="n">
        <f aca="false">MAX(0,FORECAST(23,'02 Raw Cost Data'!$N$6:$N$22,'02 Raw Cost Data'!$H$6:$H$22))</f>
        <v>112905.778851308</v>
      </c>
      <c r="H14" s="18" t="n">
        <f aca="false">MAX(0,FORECAST(23,'02 Raw Cost Data'!$O$6:$O$22,'02 Raw Cost Data'!$H$6:$H$22))</f>
        <v>94762.9932787937</v>
      </c>
      <c r="I14" s="19" t="n">
        <f aca="false">SUM(B14:H14)</f>
        <v>939422.04952111</v>
      </c>
      <c r="J14" s="18" t="n">
        <f aca="false">$B$7*$B$6^6</f>
        <v>925079.399682004</v>
      </c>
      <c r="K14" s="18" t="n">
        <f aca="false">J14-I14</f>
        <v>-14342.6498391052</v>
      </c>
    </row>
    <row r="15" customFormat="false" ht="15" hidden="false" customHeight="false" outlineLevel="0" collapsed="false">
      <c r="A15" s="16" t="n">
        <v>46357</v>
      </c>
      <c r="B15" s="18" t="n">
        <f aca="false">MAX(0,FORECAST(24,'02 Raw Cost Data'!$I$6:$I$22,'02 Raw Cost Data'!$H$6:$H$22))</f>
        <v>230278.325702132</v>
      </c>
      <c r="C15" s="18" t="n">
        <f aca="false">MAX(0,FORECAST(24,'02 Raw Cost Data'!$J$6:$J$22,'02 Raw Cost Data'!$H$6:$H$22))</f>
        <v>127928.55392888</v>
      </c>
      <c r="D15" s="18" t="n">
        <f aca="false">MAX(0,FORECAST(24,'02 Raw Cost Data'!$K$6:$K$22,'02 Raw Cost Data'!$H$6:$H$22))</f>
        <v>79820.3681097514</v>
      </c>
      <c r="E15" s="18" t="n">
        <f aca="false">MAX(0,FORECAST(24,'02 Raw Cost Data'!$L$6:$L$22,'02 Raw Cost Data'!$H$6:$H$22))</f>
        <v>223623.308730589</v>
      </c>
      <c r="F15" s="18" t="n">
        <f aca="false">MAX(0,FORECAST(24,'02 Raw Cost Data'!$M$6:$M$22,'02 Raw Cost Data'!$H$6:$H$22))</f>
        <v>80952.4087663134</v>
      </c>
      <c r="G15" s="18" t="n">
        <f aca="false">MAX(0,FORECAST(24,'02 Raw Cost Data'!$N$6:$N$22,'02 Raw Cost Data'!$H$6:$H$22))</f>
        <v>114118.398991863</v>
      </c>
      <c r="H15" s="18" t="n">
        <f aca="false">MAX(0,FORECAST(24,'02 Raw Cost Data'!$O$6:$O$22,'02 Raw Cost Data'!$H$6:$H$22))</f>
        <v>95787.1362113778</v>
      </c>
      <c r="I15" s="19" t="n">
        <f aca="false">SUM(B15:H15)</f>
        <v>952508.500440907</v>
      </c>
      <c r="J15" s="18" t="n">
        <f aca="false">$B$7*$B$6^7</f>
        <v>935916.627993547</v>
      </c>
      <c r="K15" s="18" t="n">
        <f aca="false">J15-I15</f>
        <v>-16591.8724473596</v>
      </c>
    </row>
    <row r="16" customFormat="false" ht="15" hidden="false" customHeight="false" outlineLevel="0" collapsed="false">
      <c r="A16" s="16" t="n">
        <v>46388</v>
      </c>
      <c r="B16" s="18" t="n">
        <f aca="false">MAX(0,FORECAST(25,'02 Raw Cost Data'!$I$6:$I$22,'02 Raw Cost Data'!$H$6:$H$22))</f>
        <v>234033.739103097</v>
      </c>
      <c r="C16" s="18" t="n">
        <f aca="false">MAX(0,FORECAST(25,'02 Raw Cost Data'!$J$6:$J$22,'02 Raw Cost Data'!$H$6:$H$22))</f>
        <v>129857.836641311</v>
      </c>
      <c r="D16" s="18" t="n">
        <f aca="false">MAX(0,FORECAST(25,'02 Raw Cost Data'!$K$6:$K$22,'02 Raw Cost Data'!$H$6:$H$22))</f>
        <v>80694.900723195</v>
      </c>
      <c r="E16" s="18" t="n">
        <f aca="false">MAX(0,FORECAST(25,'02 Raw Cost Data'!$L$6:$L$22,'02 Raw Cost Data'!$H$6:$H$22))</f>
        <v>227491.01630268</v>
      </c>
      <c r="F16" s="18" t="n">
        <f aca="false">MAX(0,FORECAST(25,'02 Raw Cost Data'!$M$6:$M$22,'02 Raw Cost Data'!$H$6:$H$22))</f>
        <v>81375.1603140397</v>
      </c>
      <c r="G16" s="18" t="n">
        <f aca="false">MAX(0,FORECAST(25,'02 Raw Cost Data'!$N$6:$N$22,'02 Raw Cost Data'!$H$6:$H$22))</f>
        <v>115331.019132419</v>
      </c>
      <c r="H16" s="18" t="n">
        <f aca="false">MAX(0,FORECAST(25,'02 Raw Cost Data'!$O$6:$O$22,'02 Raw Cost Data'!$H$6:$H$22))</f>
        <v>96811.279143962</v>
      </c>
      <c r="I16" s="19" t="n">
        <f aca="false">SUM(B16:H16)</f>
        <v>965594.951360703</v>
      </c>
      <c r="J16" s="18" t="n">
        <f aca="false">$B$7*$B$6^8</f>
        <v>946880.813534401</v>
      </c>
      <c r="K16" s="18" t="n">
        <f aca="false">J16-I16</f>
        <v>-18714.1378263028</v>
      </c>
    </row>
    <row r="17" customFormat="false" ht="15" hidden="false" customHeight="false" outlineLevel="0" collapsed="false">
      <c r="A17" s="16" t="n">
        <v>46419</v>
      </c>
      <c r="B17" s="18" t="n">
        <f aca="false">MAX(0,FORECAST(26,'02 Raw Cost Data'!$I$6:$I$22,'02 Raw Cost Data'!$H$6:$H$22))</f>
        <v>237789.152504062</v>
      </c>
      <c r="C17" s="18" t="n">
        <f aca="false">MAX(0,FORECAST(26,'02 Raw Cost Data'!$J$6:$J$22,'02 Raw Cost Data'!$H$6:$H$22))</f>
        <v>131787.119353741</v>
      </c>
      <c r="D17" s="18" t="n">
        <f aca="false">MAX(0,FORECAST(26,'02 Raw Cost Data'!$K$6:$K$22,'02 Raw Cost Data'!$H$6:$H$22))</f>
        <v>81569.4333366387</v>
      </c>
      <c r="E17" s="18" t="n">
        <f aca="false">MAX(0,FORECAST(26,'02 Raw Cost Data'!$L$6:$L$22,'02 Raw Cost Data'!$H$6:$H$22))</f>
        <v>231358.723874771</v>
      </c>
      <c r="F17" s="18" t="n">
        <f aca="false">MAX(0,FORECAST(26,'02 Raw Cost Data'!$M$6:$M$22,'02 Raw Cost Data'!$H$6:$H$22))</f>
        <v>81797.9118617659</v>
      </c>
      <c r="G17" s="18" t="n">
        <f aca="false">MAX(0,FORECAST(26,'02 Raw Cost Data'!$N$6:$N$22,'02 Raw Cost Data'!$H$6:$H$22))</f>
        <v>116543.639272975</v>
      </c>
      <c r="H17" s="18" t="n">
        <f aca="false">MAX(0,FORECAST(26,'02 Raw Cost Data'!$O$6:$O$22,'02 Raw Cost Data'!$H$6:$H$22))</f>
        <v>97835.4220765461</v>
      </c>
      <c r="I17" s="19" t="n">
        <f aca="false">SUM(B17:H17)</f>
        <v>978681.402280501</v>
      </c>
      <c r="J17" s="18" t="n">
        <f aca="false">$B$7*$B$6^9</f>
        <v>957973.443597959</v>
      </c>
      <c r="K17" s="18" t="n">
        <f aca="false">J17-I17</f>
        <v>-20707.9586825414</v>
      </c>
    </row>
    <row r="18" customFormat="false" ht="15" hidden="false" customHeight="false" outlineLevel="0" collapsed="false">
      <c r="A18" s="16" t="n">
        <v>46447</v>
      </c>
      <c r="B18" s="18" t="n">
        <f aca="false">MAX(0,FORECAST(27,'02 Raw Cost Data'!$I$6:$I$22,'02 Raw Cost Data'!$H$6:$H$22))</f>
        <v>241544.565905028</v>
      </c>
      <c r="C18" s="18" t="n">
        <f aca="false">MAX(0,FORECAST(27,'02 Raw Cost Data'!$J$6:$J$22,'02 Raw Cost Data'!$H$6:$H$22))</f>
        <v>133716.402066172</v>
      </c>
      <c r="D18" s="18" t="n">
        <f aca="false">MAX(0,FORECAST(27,'02 Raw Cost Data'!$K$6:$K$22,'02 Raw Cost Data'!$H$6:$H$22))</f>
        <v>82443.9659500824</v>
      </c>
      <c r="E18" s="18" t="n">
        <f aca="false">MAX(0,FORECAST(27,'02 Raw Cost Data'!$L$6:$L$22,'02 Raw Cost Data'!$H$6:$H$22))</f>
        <v>235226.431446863</v>
      </c>
      <c r="F18" s="18" t="n">
        <f aca="false">MAX(0,FORECAST(27,'02 Raw Cost Data'!$M$6:$M$22,'02 Raw Cost Data'!$H$6:$H$22))</f>
        <v>82220.6634094922</v>
      </c>
      <c r="G18" s="18" t="n">
        <f aca="false">MAX(0,FORECAST(27,'02 Raw Cost Data'!$N$6:$N$22,'02 Raw Cost Data'!$H$6:$H$22))</f>
        <v>117756.25941353</v>
      </c>
      <c r="H18" s="18" t="n">
        <f aca="false">MAX(0,FORECAST(27,'02 Raw Cost Data'!$O$6:$O$22,'02 Raw Cost Data'!$H$6:$H$22))</f>
        <v>98859.5650091302</v>
      </c>
      <c r="I18" s="19" t="n">
        <f aca="false">SUM(B18:H18)</f>
        <v>991767.853200297</v>
      </c>
      <c r="J18" s="18" t="n">
        <f aca="false">$B$7*$B$6^10</f>
        <v>969196.022901135</v>
      </c>
      <c r="K18" s="18" t="n">
        <f aca="false">J18-I18</f>
        <v>-22571.8302991621</v>
      </c>
    </row>
    <row r="19" customFormat="false" ht="15" hidden="false" customHeight="false" outlineLevel="0" collapsed="false">
      <c r="A19" s="16" t="n">
        <v>46478</v>
      </c>
      <c r="B19" s="18" t="n">
        <f aca="false">MAX(0,FORECAST(28,'02 Raw Cost Data'!$I$6:$I$22,'02 Raw Cost Data'!$H$6:$H$22))</f>
        <v>245299.979305993</v>
      </c>
      <c r="C19" s="18" t="n">
        <f aca="false">MAX(0,FORECAST(28,'02 Raw Cost Data'!$J$6:$J$22,'02 Raw Cost Data'!$H$6:$H$22))</f>
        <v>135645.684778602</v>
      </c>
      <c r="D19" s="18" t="n">
        <f aca="false">MAX(0,FORECAST(28,'02 Raw Cost Data'!$K$6:$K$22,'02 Raw Cost Data'!$H$6:$H$22))</f>
        <v>83318.498563526</v>
      </c>
      <c r="E19" s="18" t="n">
        <f aca="false">MAX(0,FORECAST(28,'02 Raw Cost Data'!$L$6:$L$22,'02 Raw Cost Data'!$H$6:$H$22))</f>
        <v>239094.139018954</v>
      </c>
      <c r="F19" s="18" t="n">
        <f aca="false">MAX(0,FORECAST(28,'02 Raw Cost Data'!$M$6:$M$22,'02 Raw Cost Data'!$H$6:$H$22))</f>
        <v>82643.4149572184</v>
      </c>
      <c r="G19" s="18" t="n">
        <f aca="false">MAX(0,FORECAST(28,'02 Raw Cost Data'!$N$6:$N$22,'02 Raw Cost Data'!$H$6:$H$22))</f>
        <v>118968.879554086</v>
      </c>
      <c r="H19" s="18" t="n">
        <f aca="false">MAX(0,FORECAST(28,'02 Raw Cost Data'!$O$6:$O$22,'02 Raw Cost Data'!$H$6:$H$22))</f>
        <v>99883.7079417143</v>
      </c>
      <c r="I19" s="19" t="n">
        <f aca="false">SUM(B19:H19)</f>
        <v>1004854.30412009</v>
      </c>
      <c r="J19" s="18" t="n">
        <f aca="false">$B$7*$B$6^11</f>
        <v>980550.073788474</v>
      </c>
      <c r="K19" s="18" t="n">
        <f aca="false">J19-I19</f>
        <v>-24304.23033162</v>
      </c>
    </row>
    <row r="20" customFormat="false" ht="15" hidden="false" customHeight="false" outlineLevel="0" collapsed="false">
      <c r="A20" s="16" t="n">
        <v>46508</v>
      </c>
      <c r="B20" s="18" t="n">
        <f aca="false">MAX(0,FORECAST(29,'02 Raw Cost Data'!$I$6:$I$22,'02 Raw Cost Data'!$H$6:$H$22))</f>
        <v>249055.392706959</v>
      </c>
      <c r="C20" s="18" t="n">
        <f aca="false">MAX(0,FORECAST(29,'02 Raw Cost Data'!$J$6:$J$22,'02 Raw Cost Data'!$H$6:$H$22))</f>
        <v>137574.967491033</v>
      </c>
      <c r="D20" s="18" t="n">
        <f aca="false">MAX(0,FORECAST(29,'02 Raw Cost Data'!$K$6:$K$22,'02 Raw Cost Data'!$H$6:$H$22))</f>
        <v>84193.0311769697</v>
      </c>
      <c r="E20" s="18" t="n">
        <f aca="false">MAX(0,FORECAST(29,'02 Raw Cost Data'!$L$6:$L$22,'02 Raw Cost Data'!$H$6:$H$22))</f>
        <v>242961.846591046</v>
      </c>
      <c r="F20" s="18" t="n">
        <f aca="false">MAX(0,FORECAST(29,'02 Raw Cost Data'!$M$6:$M$22,'02 Raw Cost Data'!$H$6:$H$22))</f>
        <v>83066.1665049447</v>
      </c>
      <c r="G20" s="18" t="n">
        <f aca="false">MAX(0,FORECAST(29,'02 Raw Cost Data'!$N$6:$N$22,'02 Raw Cost Data'!$H$6:$H$22))</f>
        <v>120181.499694642</v>
      </c>
      <c r="H20" s="18" t="n">
        <f aca="false">MAX(0,FORECAST(29,'02 Raw Cost Data'!$O$6:$O$22,'02 Raw Cost Data'!$H$6:$H$22))</f>
        <v>100907.850874298</v>
      </c>
      <c r="I20" s="19" t="n">
        <f aca="false">SUM(B20:H20)</f>
        <v>1017940.75503989</v>
      </c>
      <c r="J20" s="18" t="n">
        <f aca="false">$B$7*$B$6^12</f>
        <v>992037.136438662</v>
      </c>
      <c r="K20" s="18" t="n">
        <f aca="false">J20-I20</f>
        <v>-25903.6186012289</v>
      </c>
    </row>
    <row r="21" customFormat="false" ht="15" hidden="false" customHeight="false" outlineLevel="0" collapsed="false">
      <c r="A21" s="9" t="s">
        <v>416</v>
      </c>
      <c r="B21" s="23" t="n">
        <f aca="false">SUM(B9:B20)</f>
        <v>2740807.42801979</v>
      </c>
      <c r="C21" s="23" t="n">
        <f aca="false">SUM(C9:C20)</f>
        <v>1523566.95087198</v>
      </c>
      <c r="D21" s="23" t="n">
        <f aca="false">SUM(D9:D20)</f>
        <v>952597.221636354</v>
      </c>
      <c r="E21" s="23" t="n">
        <f aca="false">SUM(E9:E20)</f>
        <v>2660273.45933452</v>
      </c>
      <c r="F21" s="23" t="n">
        <f aca="false">SUM(F9:F20)</f>
        <v>968892.395909404</v>
      </c>
      <c r="G21" s="23" t="n">
        <f aca="false">SUM(G9:G20)</f>
        <v>1362145.06705902</v>
      </c>
      <c r="H21" s="23" t="n">
        <f aca="false">SUM(H9:H20)</f>
        <v>1143300.77694103</v>
      </c>
      <c r="I21" s="23" t="n">
        <f aca="false">SUM(I9:I20)</f>
        <v>11351583.2997721</v>
      </c>
      <c r="J21" s="23" t="n">
        <f aca="false">SUM(J9:J20)</f>
        <v>11174813.637436</v>
      </c>
      <c r="K21" s="23" t="n">
        <f aca="false">SUM(K9:K20)</f>
        <v>-176769.662336072</v>
      </c>
    </row>
    <row r="23" customFormat="false" ht="15" hidden="false" customHeight="false" outlineLevel="0" collapsed="false">
      <c r="A23" s="2" t="s">
        <v>417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5"/>
    <col collapsed="false" customWidth="true" hidden="false" outlineLevel="0" max="8" min="8" style="0" width="40"/>
  </cols>
  <sheetData>
    <row r="1" customFormat="false" ht="19.7" hidden="false" customHeight="false" outlineLevel="0" collapsed="false">
      <c r="A1" s="1" t="s">
        <v>418</v>
      </c>
    </row>
    <row r="2" customFormat="false" ht="15" hidden="false" customHeight="false" outlineLevel="0" collapsed="false">
      <c r="A2" s="2" t="s">
        <v>419</v>
      </c>
    </row>
    <row r="3" customFormat="false" ht="15" hidden="false" customHeight="false" outlineLevel="0" collapsed="false">
      <c r="A3" s="3" t="s">
        <v>2</v>
      </c>
    </row>
    <row r="5" customFormat="false" ht="15" hidden="false" customHeight="false" outlineLevel="0" collapsed="false">
      <c r="A5" s="4" t="s">
        <v>420</v>
      </c>
    </row>
    <row r="6" customFormat="false" ht="15" hidden="false" customHeight="false" outlineLevel="0" collapsed="false">
      <c r="A6" s="5" t="s">
        <v>421</v>
      </c>
      <c r="B6" s="8" t="n">
        <f aca="false">'04 Savings Attribution'!$D$133</f>
        <v>1872634.04129571</v>
      </c>
    </row>
    <row r="7" customFormat="false" ht="15" hidden="false" customHeight="false" outlineLevel="0" collapsed="false">
      <c r="A7" s="5" t="s">
        <v>422</v>
      </c>
      <c r="B7" s="47" t="n">
        <f aca="false">'10 Assumptions'!$B$36</f>
        <v>1</v>
      </c>
    </row>
    <row r="8" customFormat="false" ht="15" hidden="false" customHeight="false" outlineLevel="0" collapsed="false">
      <c r="A8" s="5" t="s">
        <v>423</v>
      </c>
      <c r="B8" s="47" t="n">
        <f aca="false">'10 Assumptions'!$B$39</f>
        <v>0.85</v>
      </c>
    </row>
    <row r="9" customFormat="false" ht="15" hidden="false" customHeight="false" outlineLevel="0" collapsed="false">
      <c r="A9" s="5" t="s">
        <v>424</v>
      </c>
      <c r="B9" s="11" t="n">
        <f aca="false">'10 Assumptions'!$B$37</f>
        <v>1</v>
      </c>
    </row>
    <row r="10" customFormat="false" ht="15" hidden="false" customHeight="false" outlineLevel="0" collapsed="false">
      <c r="A10" s="5" t="s">
        <v>425</v>
      </c>
      <c r="B10" s="13" t="n">
        <f aca="false">'10 Assumptions'!$B$6</f>
        <v>0.12</v>
      </c>
    </row>
    <row r="11" customFormat="false" ht="15" hidden="false" customHeight="false" outlineLevel="0" collapsed="false">
      <c r="A11" s="5" t="s">
        <v>426</v>
      </c>
      <c r="B11" s="8" t="n">
        <f aca="false">('10 Assumptions'!$B$11*'10 Assumptions'!$B$12+'10 Assumptions'!$B$13)*'10 Assumptions'!$B$37</f>
        <v>330000</v>
      </c>
    </row>
    <row r="12" customFormat="false" ht="15" hidden="false" customHeight="false" outlineLevel="0" collapsed="false">
      <c r="A12" s="5" t="s">
        <v>427</v>
      </c>
      <c r="B12" s="8" t="n">
        <f aca="false">'10 Assumptions'!$B$14*'10 Assumptions'!$B$37</f>
        <v>50000</v>
      </c>
    </row>
    <row r="13" customFormat="false" ht="15" hidden="false" customHeight="false" outlineLevel="0" collapsed="false">
      <c r="A13" s="5" t="s">
        <v>428</v>
      </c>
      <c r="B13" s="8" t="n">
        <f aca="false">'04 Savings Attribution'!$D$127*'10 Assumptions'!$B$15*'10 Assumptions'!$B$16*'10 Assumptions'!$B$37</f>
        <v>280800</v>
      </c>
    </row>
    <row r="14" customFormat="false" ht="15" hidden="false" customHeight="false" outlineLevel="0" collapsed="false">
      <c r="A14" s="5" t="s">
        <v>429</v>
      </c>
      <c r="B14" s="47" t="n">
        <f aca="false">'10 Assumptions'!$B$17</f>
        <v>0.5</v>
      </c>
    </row>
    <row r="16" customFormat="false" ht="15" hidden="false" customHeight="false" outlineLevel="0" collapsed="false">
      <c r="A16" s="4" t="s">
        <v>430</v>
      </c>
    </row>
    <row r="17" customFormat="false" ht="30" hidden="false" customHeight="true" outlineLevel="0" collapsed="false">
      <c r="A17" s="6"/>
      <c r="B17" s="6" t="s">
        <v>431</v>
      </c>
      <c r="C17" s="6" t="s">
        <v>432</v>
      </c>
      <c r="D17" s="6" t="s">
        <v>433</v>
      </c>
      <c r="E17" s="6" t="s">
        <v>434</v>
      </c>
      <c r="F17" s="6" t="s">
        <v>435</v>
      </c>
      <c r="G17" s="6" t="s">
        <v>436</v>
      </c>
      <c r="H17" s="6" t="s">
        <v>437</v>
      </c>
    </row>
    <row r="18" customFormat="false" ht="15" hidden="false" customHeight="false" outlineLevel="0" collapsed="false">
      <c r="A18" s="5" t="s">
        <v>438</v>
      </c>
      <c r="B18" s="18" t="n">
        <f aca="false">0</f>
        <v>0</v>
      </c>
      <c r="C18" s="18" t="n">
        <f aca="false">$B$6*$B$7*$B$14</f>
        <v>936317.020647855</v>
      </c>
      <c r="D18" s="18" t="n">
        <f aca="false">$B$6*$B$7*$B$8^1</f>
        <v>1591738.93510135</v>
      </c>
      <c r="E18" s="18" t="n">
        <f aca="false">$B$6*$B$7*$B$8^2</f>
        <v>1352978.09483615</v>
      </c>
      <c r="F18" s="18" t="n">
        <f aca="false">$B$6*$B$7*$B$8^3</f>
        <v>1150031.38061073</v>
      </c>
      <c r="G18" s="18" t="n">
        <f aca="false">$B$6*$B$7*$B$8^4</f>
        <v>977526.673519118</v>
      </c>
      <c r="H18" s="2" t="s">
        <v>439</v>
      </c>
    </row>
    <row r="19" customFormat="false" ht="15" hidden="false" customHeight="false" outlineLevel="0" collapsed="false">
      <c r="A19" s="5" t="s">
        <v>440</v>
      </c>
      <c r="B19" s="18" t="n">
        <f aca="false">-($B$12+$B$13)</f>
        <v>-330800</v>
      </c>
      <c r="C19" s="18" t="n">
        <f aca="false">-$B$11</f>
        <v>-330000</v>
      </c>
      <c r="D19" s="18" t="n">
        <f aca="false">-$B$11</f>
        <v>-330000</v>
      </c>
      <c r="E19" s="18" t="n">
        <f aca="false">-$B$11</f>
        <v>-330000</v>
      </c>
      <c r="F19" s="18" t="n">
        <f aca="false">-$B$11</f>
        <v>-330000</v>
      </c>
      <c r="G19" s="18" t="n">
        <f aca="false">-$B$11</f>
        <v>-330000</v>
      </c>
      <c r="H19" s="2" t="s">
        <v>441</v>
      </c>
    </row>
    <row r="20" customFormat="false" ht="15" hidden="false" customHeight="false" outlineLevel="0" collapsed="false">
      <c r="A20" s="9" t="s">
        <v>442</v>
      </c>
      <c r="B20" s="19" t="n">
        <f aca="false">B18+B19</f>
        <v>-330800</v>
      </c>
      <c r="C20" s="19" t="n">
        <f aca="false">C18+C19</f>
        <v>606317.020647855</v>
      </c>
      <c r="D20" s="19" t="n">
        <f aca="false">D18+D19</f>
        <v>1261738.93510135</v>
      </c>
      <c r="E20" s="19" t="n">
        <f aca="false">E18+E19</f>
        <v>1022978.09483615</v>
      </c>
      <c r="F20" s="19" t="n">
        <f aca="false">F18+F19</f>
        <v>820031.380610727</v>
      </c>
      <c r="G20" s="19" t="n">
        <f aca="false">G18+G19</f>
        <v>647526.673519118</v>
      </c>
    </row>
    <row r="21" customFormat="false" ht="15" hidden="false" customHeight="false" outlineLevel="0" collapsed="false">
      <c r="A21" s="5" t="s">
        <v>443</v>
      </c>
      <c r="B21" s="18" t="n">
        <f aca="false">B20</f>
        <v>-330800</v>
      </c>
      <c r="C21" s="18" t="n">
        <f aca="false">B21+C20</f>
        <v>275517.020647855</v>
      </c>
      <c r="D21" s="18" t="n">
        <f aca="false">C21+D20</f>
        <v>1537255.95574921</v>
      </c>
      <c r="E21" s="18" t="n">
        <f aca="false">D21+E20</f>
        <v>2560234.05058536</v>
      </c>
      <c r="F21" s="18" t="n">
        <f aca="false">E21+F20</f>
        <v>3380265.43119608</v>
      </c>
      <c r="G21" s="18" t="n">
        <f aca="false">F21+G20</f>
        <v>4027792.1047152</v>
      </c>
    </row>
    <row r="22" customFormat="false" ht="15" hidden="false" customHeight="false" outlineLevel="0" collapsed="false">
      <c r="A22" s="5" t="s">
        <v>444</v>
      </c>
      <c r="B22" s="48" t="n">
        <f aca="false">1/(1+$B$10)^0</f>
        <v>1</v>
      </c>
      <c r="C22" s="48" t="n">
        <f aca="false">1/(1+$B$10)^1</f>
        <v>0.892857142857143</v>
      </c>
      <c r="D22" s="48" t="n">
        <f aca="false">1/(1+$B$10)^2</f>
        <v>0.79719387755102</v>
      </c>
      <c r="E22" s="48" t="n">
        <f aca="false">1/(1+$B$10)^3</f>
        <v>0.711780247813411</v>
      </c>
      <c r="F22" s="48" t="n">
        <f aca="false">1/(1+$B$10)^4</f>
        <v>0.635518078404831</v>
      </c>
      <c r="G22" s="48" t="n">
        <f aca="false">1/(1+$B$10)^5</f>
        <v>0.567426855718599</v>
      </c>
    </row>
    <row r="23" customFormat="false" ht="15" hidden="false" customHeight="false" outlineLevel="0" collapsed="false">
      <c r="A23" s="9" t="s">
        <v>445</v>
      </c>
      <c r="B23" s="19" t="n">
        <f aca="false">B20*B22</f>
        <v>-330800</v>
      </c>
      <c r="C23" s="19" t="n">
        <f aca="false">C20*C22</f>
        <v>541354.482721299</v>
      </c>
      <c r="D23" s="19" t="n">
        <f aca="false">D20*D22</f>
        <v>1005850.55413054</v>
      </c>
      <c r="E23" s="19" t="n">
        <f aca="false">E20*E22</f>
        <v>728135.601850166</v>
      </c>
      <c r="F23" s="19" t="n">
        <f aca="false">F20*F22</f>
        <v>521144.76723739</v>
      </c>
      <c r="G23" s="19" t="n">
        <f aca="false">G20*G22</f>
        <v>367424.024348877</v>
      </c>
    </row>
    <row r="25" customFormat="false" ht="15" hidden="false" customHeight="false" outlineLevel="0" collapsed="false">
      <c r="A25" s="4" t="s">
        <v>446</v>
      </c>
    </row>
    <row r="26" customFormat="false" ht="15" hidden="false" customHeight="false" outlineLevel="0" collapsed="false">
      <c r="A26" s="9" t="s">
        <v>447</v>
      </c>
      <c r="B26" s="41" t="n">
        <f aca="false">SUM(B23:G23)</f>
        <v>2833109.43028828</v>
      </c>
    </row>
    <row r="27" customFormat="false" ht="15" hidden="false" customHeight="false" outlineLevel="0" collapsed="false">
      <c r="A27" s="5" t="s">
        <v>448</v>
      </c>
      <c r="B27" s="40" t="n">
        <f aca="false">SUMPRODUCT(C18:G18,C22:G22)</f>
        <v>4353485.57706213</v>
      </c>
    </row>
    <row r="28" customFormat="false" ht="15" hidden="false" customHeight="false" outlineLevel="0" collapsed="false">
      <c r="A28" s="5" t="s">
        <v>449</v>
      </c>
      <c r="B28" s="40" t="n">
        <f aca="false">(-B19-SUMPRODUCT(C19:G19,C22:G22))</f>
        <v>1520376.14677385</v>
      </c>
    </row>
    <row r="29" customFormat="false" ht="15" hidden="false" customHeight="false" outlineLevel="0" collapsed="false">
      <c r="A29" s="5" t="s">
        <v>29</v>
      </c>
      <c r="B29" s="49" t="n">
        <f aca="false">IF((-B19-SUMPRODUCT(C19:G19,C22:G22))=0,0,SUMPRODUCT(C18:G18,C22:G22)/(-B19-SUMPRODUCT(C19:G19,C22:G22)))</f>
        <v>2.86342665024045</v>
      </c>
    </row>
    <row r="30" customFormat="false" ht="15" hidden="false" customHeight="false" outlineLevel="0" collapsed="false">
      <c r="A30" s="9" t="s">
        <v>450</v>
      </c>
      <c r="B30" s="50" t="n">
        <f aca="false">IF((-B19-SUMPRODUCT(C19:G19,C22:G22))=0,0,(SUMPRODUCT(C18:G18,C22:G22)-(-B19-SUMPRODUCT(C19:G19,C22:G22)))/(-B19-SUMPRODUCT(C19:G19,C22:G22)))</f>
        <v>1.86342665024045</v>
      </c>
    </row>
    <row r="31" customFormat="false" ht="15" hidden="false" customHeight="false" outlineLevel="0" collapsed="false">
      <c r="A31" s="5" t="s">
        <v>451</v>
      </c>
      <c r="B31" s="51" t="n">
        <f aca="false">IFERROR(IRR(B20:G20),"n/a")</f>
        <v>2.33642679696902</v>
      </c>
    </row>
    <row r="32" customFormat="false" ht="15" hidden="false" customHeight="false" outlineLevel="0" collapsed="false">
      <c r="A32" s="9" t="s">
        <v>452</v>
      </c>
      <c r="B32" s="52" t="n">
        <f aca="false">IF(B21&gt;=0,0,IF(C21&gt;=0,12*(1-1)+12*(-B21)/C20,IF(D21&gt;=0,12*(2-1)+12*(-C21)/D20,IF(E21&gt;=0,12*(3-1)+12*(-D21)/E20,IF(F21&gt;=0,12*(4-1)+12*(-E21)/F20,IF(G21&gt;=0,12*(5-1)+12*(-F21)/G20,"beyond 5 yrs"))))))</f>
        <v>6.54707003896815</v>
      </c>
    </row>
    <row r="33" customFormat="false" ht="15" hidden="false" customHeight="false" outlineLevel="0" collapsed="false">
      <c r="A33" s="5" t="s">
        <v>453</v>
      </c>
      <c r="B33" s="53" t="n">
        <f aca="false">IF(($B$12+$B$13+$B$11)=0,0,D20/($B$12+$B$13+$B$11))</f>
        <v>1.90941122140035</v>
      </c>
    </row>
    <row r="35" customFormat="false" ht="15" hidden="false" customHeight="false" outlineLevel="0" collapsed="false">
      <c r="A35" s="4" t="s">
        <v>454</v>
      </c>
    </row>
    <row r="36" customFormat="false" ht="15" hidden="false" customHeight="false" outlineLevel="0" collapsed="false">
      <c r="A36" s="5" t="s">
        <v>455</v>
      </c>
      <c r="B36" s="8" t="n">
        <f aca="false">'04 Savings Attribution'!$D$131</f>
        <v>1693741.00166715</v>
      </c>
    </row>
    <row r="37" customFormat="false" ht="15" hidden="false" customHeight="false" outlineLevel="0" collapsed="false">
      <c r="A37" s="5" t="s">
        <v>456</v>
      </c>
      <c r="B37" s="8" t="n">
        <f aca="false">$B$6</f>
        <v>1872634.04129571</v>
      </c>
    </row>
    <row r="38" customFormat="false" ht="15" hidden="false" customHeight="false" outlineLevel="0" collapsed="false">
      <c r="A38" s="5" t="s">
        <v>457</v>
      </c>
      <c r="B38" s="19" t="n">
        <f aca="false">$B$6-$B$36</f>
        <v>178893.039628559</v>
      </c>
    </row>
    <row r="39" customFormat="false" ht="15" hidden="false" customHeight="false" outlineLevel="0" collapsed="false">
      <c r="A39" s="5" t="s">
        <v>458</v>
      </c>
      <c r="B39" s="14" t="n">
        <f aca="false">'04 Savings Attribution'!$D$135</f>
        <v>450967.844452654</v>
      </c>
    </row>
    <row r="41" customFormat="false" ht="15" hidden="false" customHeight="false" outlineLevel="0" collapsed="false">
      <c r="A41" s="2"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6"/>
    <col collapsed="false" customWidth="true" hidden="false" outlineLevel="0" max="5" min="5" style="0" width="44"/>
  </cols>
  <sheetData>
    <row r="1" customFormat="false" ht="19.7" hidden="false" customHeight="false" outlineLevel="0" collapsed="false">
      <c r="A1" s="1" t="s">
        <v>460</v>
      </c>
    </row>
    <row r="2" customFormat="false" ht="15" hidden="false" customHeight="false" outlineLevel="0" collapsed="false">
      <c r="A2" s="2" t="s">
        <v>461</v>
      </c>
    </row>
    <row r="3" customFormat="false" ht="15" hidden="false" customHeight="false" outlineLevel="0" collapsed="false">
      <c r="A3" s="3" t="s">
        <v>2</v>
      </c>
    </row>
    <row r="5" customFormat="false" ht="30" hidden="false" customHeight="true" outlineLevel="0" collapsed="false">
      <c r="A5" s="6"/>
      <c r="B5" s="6" t="s">
        <v>462</v>
      </c>
      <c r="C5" s="6" t="s">
        <v>463</v>
      </c>
      <c r="D5" s="6" t="s">
        <v>464</v>
      </c>
      <c r="E5" s="6" t="s">
        <v>465</v>
      </c>
    </row>
    <row r="6" customFormat="false" ht="15" hidden="false" customHeight="false" outlineLevel="0" collapsed="false">
      <c r="A6" s="4" t="s">
        <v>466</v>
      </c>
    </row>
    <row r="7" customFormat="false" ht="15" hidden="false" customHeight="false" outlineLevel="0" collapsed="false">
      <c r="A7" s="5" t="s">
        <v>467</v>
      </c>
      <c r="B7" s="47" t="n">
        <f aca="false">'10 Assumptions'!B30</f>
        <v>1</v>
      </c>
      <c r="C7" s="47" t="n">
        <f aca="false">'10 Assumptions'!C30</f>
        <v>1.1</v>
      </c>
      <c r="D7" s="47" t="n">
        <f aca="false">'10 Assumptions'!D30</f>
        <v>0.75</v>
      </c>
    </row>
    <row r="8" customFormat="false" ht="15" hidden="false" customHeight="false" outlineLevel="0" collapsed="false">
      <c r="A8" s="5" t="s">
        <v>468</v>
      </c>
      <c r="B8" s="11" t="n">
        <f aca="false">'10 Assumptions'!B31</f>
        <v>1</v>
      </c>
      <c r="C8" s="11" t="n">
        <f aca="false">'10 Assumptions'!C31</f>
        <v>0.9</v>
      </c>
      <c r="D8" s="11" t="n">
        <f aca="false">'10 Assumptions'!D31</f>
        <v>1.3</v>
      </c>
    </row>
    <row r="9" customFormat="false" ht="15" hidden="false" customHeight="false" outlineLevel="0" collapsed="false">
      <c r="A9" s="5" t="s">
        <v>469</v>
      </c>
      <c r="B9" s="47" t="n">
        <f aca="false">'10 Assumptions'!B32</f>
        <v>0.15</v>
      </c>
      <c r="C9" s="47" t="n">
        <f aca="false">'10 Assumptions'!C32</f>
        <v>0.1</v>
      </c>
      <c r="D9" s="47" t="n">
        <f aca="false">'10 Assumptions'!D32</f>
        <v>0.25</v>
      </c>
    </row>
    <row r="10" customFormat="false" ht="15" hidden="false" customHeight="false" outlineLevel="0" collapsed="false">
      <c r="A10" s="5" t="s">
        <v>470</v>
      </c>
      <c r="B10" s="47" t="n">
        <f aca="false">'10 Assumptions'!B33</f>
        <v>0.85</v>
      </c>
      <c r="C10" s="47" t="n">
        <f aca="false">'10 Assumptions'!C33</f>
        <v>0.9</v>
      </c>
      <c r="D10" s="47" t="n">
        <f aca="false">'10 Assumptions'!D33</f>
        <v>0.7</v>
      </c>
    </row>
    <row r="12" customFormat="false" ht="15" hidden="false" customHeight="false" outlineLevel="0" collapsed="false">
      <c r="A12" s="4" t="s">
        <v>471</v>
      </c>
    </row>
    <row r="13" customFormat="false" ht="15" hidden="false" customHeight="false" outlineLevel="0" collapsed="false">
      <c r="A13" s="5" t="s">
        <v>472</v>
      </c>
      <c r="B13" s="8" t="n">
        <f aca="false">'04 Savings Attribution'!$D$133</f>
        <v>1872634.04129571</v>
      </c>
      <c r="C13" s="8" t="n">
        <f aca="false">'04 Savings Attribution'!$D$133</f>
        <v>1872634.04129571</v>
      </c>
      <c r="D13" s="8" t="n">
        <f aca="false">'04 Savings Attribution'!$D$133</f>
        <v>1872634.04129571</v>
      </c>
    </row>
    <row r="14" customFormat="false" ht="15" hidden="false" customHeight="false" outlineLevel="0" collapsed="false">
      <c r="A14" s="5" t="s">
        <v>425</v>
      </c>
      <c r="B14" s="13" t="n">
        <f aca="false">'10 Assumptions'!$B$6</f>
        <v>0.12</v>
      </c>
      <c r="C14" s="13" t="n">
        <f aca="false">'10 Assumptions'!$B$6</f>
        <v>0.12</v>
      </c>
      <c r="D14" s="13" t="n">
        <f aca="false">'10 Assumptions'!$B$6</f>
        <v>0.12</v>
      </c>
    </row>
    <row r="15" customFormat="false" ht="15" hidden="false" customHeight="false" outlineLevel="0" collapsed="false">
      <c r="A15" s="5" t="s">
        <v>473</v>
      </c>
      <c r="B15" s="8" t="n">
        <f aca="false">'10 Assumptions'!$B$11*'10 Assumptions'!$B$12+'10 Assumptions'!$B$13</f>
        <v>330000</v>
      </c>
      <c r="C15" s="8" t="n">
        <f aca="false">'10 Assumptions'!$B$11*'10 Assumptions'!$B$12+'10 Assumptions'!$B$13</f>
        <v>330000</v>
      </c>
      <c r="D15" s="8" t="n">
        <f aca="false">'10 Assumptions'!$B$11*'10 Assumptions'!$B$12+'10 Assumptions'!$B$13</f>
        <v>330000</v>
      </c>
    </row>
    <row r="16" customFormat="false" ht="15" hidden="false" customHeight="false" outlineLevel="0" collapsed="false">
      <c r="A16" s="5" t="s">
        <v>474</v>
      </c>
      <c r="B16" s="8" t="n">
        <f aca="false">'10 Assumptions'!$B$14</f>
        <v>50000</v>
      </c>
      <c r="C16" s="8" t="n">
        <f aca="false">'10 Assumptions'!$B$14</f>
        <v>50000</v>
      </c>
      <c r="D16" s="8" t="n">
        <f aca="false">'10 Assumptions'!$B$14</f>
        <v>50000</v>
      </c>
    </row>
    <row r="17" customFormat="false" ht="15" hidden="false" customHeight="false" outlineLevel="0" collapsed="false">
      <c r="A17" s="5" t="s">
        <v>475</v>
      </c>
      <c r="B17" s="8" t="n">
        <f aca="false">'04 Savings Attribution'!$D$127*'10 Assumptions'!$B$15*'10 Assumptions'!$B$16</f>
        <v>280800</v>
      </c>
      <c r="C17" s="8" t="n">
        <f aca="false">'04 Savings Attribution'!$D$127*'10 Assumptions'!$B$15*'10 Assumptions'!$B$16</f>
        <v>280800</v>
      </c>
      <c r="D17" s="8" t="n">
        <f aca="false">'04 Savings Attribution'!$D$127*'10 Assumptions'!$B$15*'10 Assumptions'!$B$16</f>
        <v>280800</v>
      </c>
    </row>
    <row r="18" customFormat="false" ht="15" hidden="false" customHeight="false" outlineLevel="0" collapsed="false">
      <c r="A18" s="5" t="s">
        <v>429</v>
      </c>
      <c r="B18" s="47" t="n">
        <f aca="false">'10 Assumptions'!$B$17</f>
        <v>0.5</v>
      </c>
      <c r="C18" s="47" t="n">
        <f aca="false">'10 Assumptions'!$B$17</f>
        <v>0.5</v>
      </c>
      <c r="D18" s="47" t="n">
        <f aca="false">'10 Assumptions'!$B$17</f>
        <v>0.5</v>
      </c>
    </row>
    <row r="20" customFormat="false" ht="15" hidden="false" customHeight="false" outlineLevel="0" collapsed="false">
      <c r="A20" s="4" t="s">
        <v>446</v>
      </c>
    </row>
    <row r="21" customFormat="false" ht="15" hidden="false" customHeight="false" outlineLevel="0" collapsed="false">
      <c r="A21" s="5" t="s">
        <v>476</v>
      </c>
      <c r="B21" s="40" t="n">
        <f aca="false">B13*B7*B18</f>
        <v>936317.020647855</v>
      </c>
      <c r="C21" s="40" t="n">
        <f aca="false">C13*C7*C18</f>
        <v>1029948.72271264</v>
      </c>
      <c r="D21" s="40" t="n">
        <f aca="false">D13*D7*D18</f>
        <v>702237.765485891</v>
      </c>
      <c r="E21" s="2" t="s">
        <v>477</v>
      </c>
    </row>
    <row r="22" customFormat="false" ht="15" hidden="false" customHeight="false" outlineLevel="0" collapsed="false">
      <c r="A22" s="5" t="s">
        <v>478</v>
      </c>
      <c r="B22" s="40" t="n">
        <f aca="false">(B13*B7*(B18/(1+B14)+SUMPRODUCT(B10^({2,3,4,5}-1)/(1+B14)^{2,3,4,5})))</f>
        <v>4353485.57706213</v>
      </c>
      <c r="C22" s="40" t="n">
        <f aca="false">(C13*C7*(C18/(1+C14)+SUMPRODUCT(C10^({2,3,4,5}-1)/(1+C14)^{2,3,4,5})))</f>
        <v>5306350.40906145</v>
      </c>
      <c r="D22" s="40" t="n">
        <f aca="false">(D13*D7*(D18/(1+D14)+SUMPRODUCT(D10^({2,3,4,5}-1)/(1+D14)^{2,3,4,5})))</f>
        <v>2398083.67791355</v>
      </c>
      <c r="E22" s="2" t="s">
        <v>479</v>
      </c>
    </row>
    <row r="23" customFormat="false" ht="15" hidden="false" customHeight="false" outlineLevel="0" collapsed="false">
      <c r="A23" s="5" t="s">
        <v>480</v>
      </c>
      <c r="B23" s="40" t="n">
        <f aca="false">((B16+B17)*B8+B15*B8*SUMPRODUCT(1/(1+B14)^{1,2,3,4,5}))</f>
        <v>1520376.14677385</v>
      </c>
      <c r="C23" s="40" t="n">
        <f aca="false">((C16+C17)*C8+C15*C8*SUMPRODUCT(1/(1+C14)^{1,2,3,4,5}))</f>
        <v>1368338.53209647</v>
      </c>
      <c r="D23" s="40" t="n">
        <f aca="false">((D16+D17)*D8+D15*D8*SUMPRODUCT(1/(1+D14)^{1,2,3,4,5}))</f>
        <v>1976488.99080601</v>
      </c>
      <c r="E23" s="2" t="s">
        <v>481</v>
      </c>
    </row>
    <row r="24" customFormat="false" ht="15" hidden="false" customHeight="false" outlineLevel="0" collapsed="false">
      <c r="A24" s="9" t="s">
        <v>482</v>
      </c>
      <c r="B24" s="41" t="n">
        <f aca="false">(B13*B7*(B18/(1+B14)+SUMPRODUCT(B10^({2,3,4,5}-1)/(1+B14)^{2,3,4,5})))-((B16+B17)*B8+B15*B8*SUMPRODUCT(1/(1+B14)^{1,2,3,4,5}))</f>
        <v>2833109.43028828</v>
      </c>
      <c r="C24" s="41" t="n">
        <f aca="false">(C13*C7*(C18/(1+C14)+SUMPRODUCT(C10^({2,3,4,5}-1)/(1+C14)^{2,3,4,5})))-((C16+C17)*C8+C15*C8*SUMPRODUCT(1/(1+C14)^{1,2,3,4,5}))</f>
        <v>3938011.87696498</v>
      </c>
      <c r="D24" s="41" t="n">
        <f aca="false">(D13*D7*(D18/(1+D14)+SUMPRODUCT(D10^({2,3,4,5}-1)/(1+D14)^{2,3,4,5})))-((D16+D17)*D8+D15*D8*SUMPRODUCT(1/(1+D14)^{1,2,3,4,5}))</f>
        <v>421594.687107543</v>
      </c>
      <c r="E24" s="2" t="s">
        <v>483</v>
      </c>
    </row>
    <row r="25" customFormat="false" ht="15" hidden="false" customHeight="false" outlineLevel="0" collapsed="false">
      <c r="A25" s="9" t="s">
        <v>484</v>
      </c>
      <c r="B25" s="54" t="n">
        <f aca="false">IF(((B16+B17)*B8+B15*B8*SUMPRODUCT(1/(1+B14)^{1,2,3,4,5}))=0,0,((B13*B7*(B18/(1+B14)+SUMPRODUCT(B10^({2,3,4,5}-1)/(1+B14)^{2,3,4,5})))-((B16+B17)*B8+B15*B8*SUMPRODUCT(1/(1+B14)^{1,2,3,4,5})))/((B16+B17)*B8+B15*B8*SUMPRODUCT(1/(1+B14)^{1,2,3,4,5})))</f>
        <v>1.86342665024045</v>
      </c>
      <c r="C25" s="54" t="n">
        <f aca="false">IF(((C16+C17)*C8+C15*C8*SUMPRODUCT(1/(1+C14)^{1,2,3,4,5}))=0,0,((C13*C7*(C18/(1+C14)+SUMPRODUCT(C10^({2,3,4,5}-1)/(1+C14)^{2,3,4,5})))-((C16+C17)*C8+C15*C8*SUMPRODUCT(1/(1+C14)^{1,2,3,4,5})))/((C16+C17)*C8+C15*C8*SUMPRODUCT(1/(1+C14)^{1,2,3,4,5})))</f>
        <v>2.87795146054351</v>
      </c>
      <c r="D25" s="54" t="n">
        <f aca="false">IF(((D16+D17)*D8+D15*D8*SUMPRODUCT(1/(1+D14)^{1,2,3,4,5}))=0,0,((D13*D7*(D18/(1+D14)+SUMPRODUCT(D10^({2,3,4,5}-1)/(1+D14)^{2,3,4,5})))-((D16+D17)*D8+D15*D8*SUMPRODUCT(1/(1+D14)^{1,2,3,4,5})))/((D16+D17)*D8+D15*D8*SUMPRODUCT(1/(1+D14)^{1,2,3,4,5})))</f>
        <v>0.213304849694922</v>
      </c>
      <c r="E25" s="2" t="s">
        <v>485</v>
      </c>
    </row>
    <row r="26" customFormat="false" ht="15" hidden="false" customHeight="false" outlineLevel="0" collapsed="false">
      <c r="A26" s="5" t="s">
        <v>29</v>
      </c>
      <c r="B26" s="49" t="n">
        <f aca="false">IF(((B16+B17)*B8+B15*B8*SUMPRODUCT(1/(1+B14)^{1,2,3,4,5}))=0,0,(B13*B7*(B18/(1+B14)+SUMPRODUCT(B10^({2,3,4,5}-1)/(1+B14)^{2,3,4,5})))/((B16+B17)*B8+B15*B8*SUMPRODUCT(1/(1+B14)^{1,2,3,4,5})))</f>
        <v>2.86342665024045</v>
      </c>
      <c r="C26" s="49" t="n">
        <f aca="false">IF(((C16+C17)*C8+C15*C8*SUMPRODUCT(1/(1+C14)^{1,2,3,4,5}))=0,0,(C13*C7*(C18/(1+C14)+SUMPRODUCT(C10^({2,3,4,5}-1)/(1+C14)^{2,3,4,5})))/((C16+C17)*C8+C15*C8*SUMPRODUCT(1/(1+C14)^{1,2,3,4,5})))</f>
        <v>3.87795146054351</v>
      </c>
      <c r="D26" s="49" t="n">
        <f aca="false">IF(((D16+D17)*D8+D15*D8*SUMPRODUCT(1/(1+D14)^{1,2,3,4,5}))=0,0,(D13*D7*(D18/(1+D14)+SUMPRODUCT(D10^({2,3,4,5}-1)/(1+D14)^{2,3,4,5})))/((D16+D17)*D8+D15*D8*SUMPRODUCT(1/(1+D14)^{1,2,3,4,5})))</f>
        <v>1.21330484969492</v>
      </c>
      <c r="E26" s="2" t="s">
        <v>486</v>
      </c>
    </row>
    <row r="27" customFormat="false" ht="15" hidden="false" customHeight="false" outlineLevel="0" collapsed="false">
      <c r="A27" s="5" t="s">
        <v>487</v>
      </c>
      <c r="B27" s="55" t="n">
        <f aca="false">IF((B13*B7*B18-B15*B8)&lt;=0,"beyond yr 1",12*(B16+B17)*B8/(B13*B7*B18-B15*B8))</f>
        <v>6.54707003896815</v>
      </c>
      <c r="C27" s="55" t="n">
        <f aca="false">IF((C13*C7*C18-C15*C8)&lt;=0,"beyond yr 1",12*(C16+C17)*C8/(C13*C7*C18-C15*C8))</f>
        <v>4.874338257631</v>
      </c>
      <c r="D27" s="55" t="n">
        <f aca="false">IF((D13*D7*D18-D15*D8)&lt;=0,"beyond yr 1",12*(D16+D17)*D8/(D13*D7*D18-D15*D8))</f>
        <v>18.8864082928773</v>
      </c>
      <c r="E27" s="2" t="s">
        <v>488</v>
      </c>
    </row>
    <row r="29" customFormat="false" ht="15" hidden="false" customHeight="false" outlineLevel="0" collapsed="false">
      <c r="A29" s="2" t="s">
        <v>489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7" min="2" style="0" width="14"/>
  </cols>
  <sheetData>
    <row r="1" customFormat="false" ht="19.7" hidden="false" customHeight="false" outlineLevel="0" collapsed="false">
      <c r="A1" s="1" t="s">
        <v>490</v>
      </c>
    </row>
    <row r="2" customFormat="false" ht="15" hidden="false" customHeight="false" outlineLevel="0" collapsed="false">
      <c r="A2" s="2" t="s">
        <v>491</v>
      </c>
    </row>
    <row r="3" customFormat="false" ht="15" hidden="false" customHeight="false" outlineLevel="0" collapsed="false">
      <c r="A3" s="3" t="s">
        <v>2</v>
      </c>
    </row>
    <row r="5" customFormat="false" ht="15" hidden="false" customHeight="false" outlineLevel="0" collapsed="false">
      <c r="A5" s="4" t="s">
        <v>492</v>
      </c>
    </row>
    <row r="6" customFormat="false" ht="15" hidden="false" customHeight="false" outlineLevel="0" collapsed="false">
      <c r="A6" s="2" t="s">
        <v>493</v>
      </c>
      <c r="B6" s="56" t="n">
        <v>0.8</v>
      </c>
      <c r="C6" s="56" t="n">
        <v>1</v>
      </c>
      <c r="D6" s="56" t="n">
        <v>1.2</v>
      </c>
      <c r="E6" s="56" t="n">
        <v>1.5</v>
      </c>
      <c r="F6" s="56" t="n">
        <v>2</v>
      </c>
    </row>
    <row r="7" customFormat="false" ht="15" hidden="false" customHeight="false" outlineLevel="0" collapsed="false">
      <c r="A7" s="57" t="n">
        <v>0.5</v>
      </c>
      <c r="B7" s="18" t="n">
        <f aca="false">('04 Savings Attribution'!$D$133*$A7*('10 Assumptions'!$B$17/(1+'10 Assumptions'!$B$6)+SUMPRODUCT('10 Assumptions'!$B$39^({2,3,4,5}-1)/(1+'10 Assumptions'!$B$6)^{2,3,4,5})))-(('10 Assumptions'!$B$14+'04 Savings Attribution'!$D$127*'10 Assumptions'!$B$15*'10 Assumptions'!$B$16)*B$6+('10 Assumptions'!$B$11*'10 Assumptions'!$B$12+'10 Assumptions'!$B$13)*B$6*SUMPRODUCT(1/(1+'10 Assumptions'!$B$6)^{1,2,3,4,5}))</f>
        <v>960441.871111982</v>
      </c>
      <c r="C7" s="18" t="n">
        <f aca="false">('04 Savings Attribution'!$D$133*$A7*('10 Assumptions'!$B$17/(1+'10 Assumptions'!$B$6)+SUMPRODUCT('10 Assumptions'!$B$39^({2,3,4,5}-1)/(1+'10 Assumptions'!$B$6)^{2,3,4,5})))-(('10 Assumptions'!$B$14+'04 Savings Attribution'!$D$127*'10 Assumptions'!$B$15*'10 Assumptions'!$B$16)*C$6+('10 Assumptions'!$B$11*'10 Assumptions'!$B$12+'10 Assumptions'!$B$13)*C$6*SUMPRODUCT(1/(1+'10 Assumptions'!$B$6)^{1,2,3,4,5}))</f>
        <v>656366.641757212</v>
      </c>
      <c r="D7" s="18" t="n">
        <f aca="false">('04 Savings Attribution'!$D$133*$A7*('10 Assumptions'!$B$17/(1+'10 Assumptions'!$B$6)+SUMPRODUCT('10 Assumptions'!$B$39^({2,3,4,5}-1)/(1+'10 Assumptions'!$B$6)^{2,3,4,5})))-(('10 Assumptions'!$B$14+'04 Savings Attribution'!$D$127*'10 Assumptions'!$B$15*'10 Assumptions'!$B$16)*D$6+('10 Assumptions'!$B$11*'10 Assumptions'!$B$12+'10 Assumptions'!$B$13)*D$6*SUMPRODUCT(1/(1+'10 Assumptions'!$B$6)^{1,2,3,4,5}))</f>
        <v>352291.412402442</v>
      </c>
      <c r="E7" s="18" t="n">
        <f aca="false">('04 Savings Attribution'!$D$133*$A7*('10 Assumptions'!$B$17/(1+'10 Assumptions'!$B$6)+SUMPRODUCT('10 Assumptions'!$B$39^({2,3,4,5}-1)/(1+'10 Assumptions'!$B$6)^{2,3,4,5})))-(('10 Assumptions'!$B$14+'04 Savings Attribution'!$D$127*'10 Assumptions'!$B$15*'10 Assumptions'!$B$16)*E$6+('10 Assumptions'!$B$11*'10 Assumptions'!$B$12+'10 Assumptions'!$B$13)*E$6*SUMPRODUCT(1/(1+'10 Assumptions'!$B$6)^{1,2,3,4,5}))</f>
        <v>-103821.431629714</v>
      </c>
      <c r="F7" s="18" t="n">
        <f aca="false">('04 Savings Attribution'!$D$133*$A7*('10 Assumptions'!$B$17/(1+'10 Assumptions'!$B$6)+SUMPRODUCT('10 Assumptions'!$B$39^({2,3,4,5}-1)/(1+'10 Assumptions'!$B$6)^{2,3,4,5})))-(('10 Assumptions'!$B$14+'04 Savings Attribution'!$D$127*'10 Assumptions'!$B$15*'10 Assumptions'!$B$16)*F$6+('10 Assumptions'!$B$11*'10 Assumptions'!$B$12+'10 Assumptions'!$B$13)*F$6*SUMPRODUCT(1/(1+'10 Assumptions'!$B$6)^{1,2,3,4,5}))</f>
        <v>-864009.505016639</v>
      </c>
    </row>
    <row r="8" customFormat="false" ht="15" hidden="false" customHeight="false" outlineLevel="0" collapsed="false">
      <c r="A8" s="57" t="n">
        <v>0.625</v>
      </c>
      <c r="B8" s="18" t="n">
        <f aca="false">('04 Savings Attribution'!$D$133*$A8*('10 Assumptions'!$B$17/(1+'10 Assumptions'!$B$6)+SUMPRODUCT('10 Assumptions'!$B$39^({2,3,4,5}-1)/(1+'10 Assumptions'!$B$6)^{2,3,4,5})))-(('10 Assumptions'!$B$14+'04 Savings Attribution'!$D$127*'10 Assumptions'!$B$15*'10 Assumptions'!$B$16)*B$6+('10 Assumptions'!$B$11*'10 Assumptions'!$B$12+'10 Assumptions'!$B$13)*B$6*SUMPRODUCT(1/(1+'10 Assumptions'!$B$6)^{1,2,3,4,5}))</f>
        <v>1504627.56824475</v>
      </c>
      <c r="C8" s="18" t="n">
        <f aca="false">('04 Savings Attribution'!$D$133*$A8*('10 Assumptions'!$B$17/(1+'10 Assumptions'!$B$6)+SUMPRODUCT('10 Assumptions'!$B$39^({2,3,4,5}-1)/(1+'10 Assumptions'!$B$6)^{2,3,4,5})))-(('10 Assumptions'!$B$14+'04 Savings Attribution'!$D$127*'10 Assumptions'!$B$15*'10 Assumptions'!$B$16)*C$6+('10 Assumptions'!$B$11*'10 Assumptions'!$B$12+'10 Assumptions'!$B$13)*C$6*SUMPRODUCT(1/(1+'10 Assumptions'!$B$6)^{1,2,3,4,5}))</f>
        <v>1200552.33888998</v>
      </c>
      <c r="D8" s="18" t="n">
        <f aca="false">('04 Savings Attribution'!$D$133*$A8*('10 Assumptions'!$B$17/(1+'10 Assumptions'!$B$6)+SUMPRODUCT('10 Assumptions'!$B$39^({2,3,4,5}-1)/(1+'10 Assumptions'!$B$6)^{2,3,4,5})))-(('10 Assumptions'!$B$14+'04 Savings Attribution'!$D$127*'10 Assumptions'!$B$15*'10 Assumptions'!$B$16)*D$6+('10 Assumptions'!$B$11*'10 Assumptions'!$B$12+'10 Assumptions'!$B$13)*D$6*SUMPRODUCT(1/(1+'10 Assumptions'!$B$6)^{1,2,3,4,5}))</f>
        <v>896477.109535207</v>
      </c>
      <c r="E8" s="18" t="n">
        <f aca="false">('04 Savings Attribution'!$D$133*$A8*('10 Assumptions'!$B$17/(1+'10 Assumptions'!$B$6)+SUMPRODUCT('10 Assumptions'!$B$39^({2,3,4,5}-1)/(1+'10 Assumptions'!$B$6)^{2,3,4,5})))-(('10 Assumptions'!$B$14+'04 Savings Attribution'!$D$127*'10 Assumptions'!$B$15*'10 Assumptions'!$B$16)*E$6+('10 Assumptions'!$B$11*'10 Assumptions'!$B$12+'10 Assumptions'!$B$13)*E$6*SUMPRODUCT(1/(1+'10 Assumptions'!$B$6)^{1,2,3,4,5}))</f>
        <v>440364.265503052</v>
      </c>
      <c r="F8" s="18" t="n">
        <f aca="false">('04 Savings Attribution'!$D$133*$A8*('10 Assumptions'!$B$17/(1+'10 Assumptions'!$B$6)+SUMPRODUCT('10 Assumptions'!$B$39^({2,3,4,5}-1)/(1+'10 Assumptions'!$B$6)^{2,3,4,5})))-(('10 Assumptions'!$B$14+'04 Savings Attribution'!$D$127*'10 Assumptions'!$B$15*'10 Assumptions'!$B$16)*F$6+('10 Assumptions'!$B$11*'10 Assumptions'!$B$12+'10 Assumptions'!$B$13)*F$6*SUMPRODUCT(1/(1+'10 Assumptions'!$B$6)^{1,2,3,4,5}))</f>
        <v>-319823.807883874</v>
      </c>
    </row>
    <row r="9" customFormat="false" ht="15" hidden="false" customHeight="false" outlineLevel="0" collapsed="false">
      <c r="A9" s="57" t="n">
        <v>0.75</v>
      </c>
      <c r="B9" s="18" t="n">
        <f aca="false">('04 Savings Attribution'!$D$133*$A9*('10 Assumptions'!$B$17/(1+'10 Assumptions'!$B$6)+SUMPRODUCT('10 Assumptions'!$B$39^({2,3,4,5}-1)/(1+'10 Assumptions'!$B$6)^{2,3,4,5})))-(('10 Assumptions'!$B$14+'04 Savings Attribution'!$D$127*'10 Assumptions'!$B$15*'10 Assumptions'!$B$16)*B$6+('10 Assumptions'!$B$11*'10 Assumptions'!$B$12+'10 Assumptions'!$B$13)*B$6*SUMPRODUCT(1/(1+'10 Assumptions'!$B$6)^{1,2,3,4,5}))</f>
        <v>2048813.26537751</v>
      </c>
      <c r="C9" s="18" t="n">
        <f aca="false">('04 Savings Attribution'!$D$133*$A9*('10 Assumptions'!$B$17/(1+'10 Assumptions'!$B$6)+SUMPRODUCT('10 Assumptions'!$B$39^({2,3,4,5}-1)/(1+'10 Assumptions'!$B$6)^{2,3,4,5})))-(('10 Assumptions'!$B$14+'04 Savings Attribution'!$D$127*'10 Assumptions'!$B$15*'10 Assumptions'!$B$16)*C$6+('10 Assumptions'!$B$11*'10 Assumptions'!$B$12+'10 Assumptions'!$B$13)*C$6*SUMPRODUCT(1/(1+'10 Assumptions'!$B$6)^{1,2,3,4,5}))</f>
        <v>1744738.03602274</v>
      </c>
      <c r="D9" s="18" t="n">
        <f aca="false">('04 Savings Attribution'!$D$133*$A9*('10 Assumptions'!$B$17/(1+'10 Assumptions'!$B$6)+SUMPRODUCT('10 Assumptions'!$B$39^({2,3,4,5}-1)/(1+'10 Assumptions'!$B$6)^{2,3,4,5})))-(('10 Assumptions'!$B$14+'04 Savings Attribution'!$D$127*'10 Assumptions'!$B$15*'10 Assumptions'!$B$16)*D$6+('10 Assumptions'!$B$11*'10 Assumptions'!$B$12+'10 Assumptions'!$B$13)*D$6*SUMPRODUCT(1/(1+'10 Assumptions'!$B$6)^{1,2,3,4,5}))</f>
        <v>1440662.80666797</v>
      </c>
      <c r="E9" s="18" t="n">
        <f aca="false">('04 Savings Attribution'!$D$133*$A9*('10 Assumptions'!$B$17/(1+'10 Assumptions'!$B$6)+SUMPRODUCT('10 Assumptions'!$B$39^({2,3,4,5}-1)/(1+'10 Assumptions'!$B$6)^{2,3,4,5})))-(('10 Assumptions'!$B$14+'04 Savings Attribution'!$D$127*'10 Assumptions'!$B$15*'10 Assumptions'!$B$16)*E$6+('10 Assumptions'!$B$11*'10 Assumptions'!$B$12+'10 Assumptions'!$B$13)*E$6*SUMPRODUCT(1/(1+'10 Assumptions'!$B$6)^{1,2,3,4,5}))</f>
        <v>984549.962635818</v>
      </c>
      <c r="F9" s="18" t="n">
        <f aca="false">('04 Savings Attribution'!$D$133*$A9*('10 Assumptions'!$B$17/(1+'10 Assumptions'!$B$6)+SUMPRODUCT('10 Assumptions'!$B$39^({2,3,4,5}-1)/(1+'10 Assumptions'!$B$6)^{2,3,4,5})))-(('10 Assumptions'!$B$14+'04 Savings Attribution'!$D$127*'10 Assumptions'!$B$15*'10 Assumptions'!$B$16)*F$6+('10 Assumptions'!$B$11*'10 Assumptions'!$B$12+'10 Assumptions'!$B$13)*F$6*SUMPRODUCT(1/(1+'10 Assumptions'!$B$6)^{1,2,3,4,5}))</f>
        <v>224361.889248892</v>
      </c>
    </row>
    <row r="10" customFormat="false" ht="15" hidden="false" customHeight="false" outlineLevel="0" collapsed="false">
      <c r="A10" s="57" t="n">
        <v>0.875</v>
      </c>
      <c r="B10" s="18" t="n">
        <f aca="false">('04 Savings Attribution'!$D$133*$A10*('10 Assumptions'!$B$17/(1+'10 Assumptions'!$B$6)+SUMPRODUCT('10 Assumptions'!$B$39^({2,3,4,5}-1)/(1+'10 Assumptions'!$B$6)^{2,3,4,5})))-(('10 Assumptions'!$B$14+'04 Savings Attribution'!$D$127*'10 Assumptions'!$B$15*'10 Assumptions'!$B$16)*B$6+('10 Assumptions'!$B$11*'10 Assumptions'!$B$12+'10 Assumptions'!$B$13)*B$6*SUMPRODUCT(1/(1+'10 Assumptions'!$B$6)^{1,2,3,4,5}))</f>
        <v>2592998.96251028</v>
      </c>
      <c r="C10" s="18" t="n">
        <f aca="false">('04 Savings Attribution'!$D$133*$A10*('10 Assumptions'!$B$17/(1+'10 Assumptions'!$B$6)+SUMPRODUCT('10 Assumptions'!$B$39^({2,3,4,5}-1)/(1+'10 Assumptions'!$B$6)^{2,3,4,5})))-(('10 Assumptions'!$B$14+'04 Savings Attribution'!$D$127*'10 Assumptions'!$B$15*'10 Assumptions'!$B$16)*C$6+('10 Assumptions'!$B$11*'10 Assumptions'!$B$12+'10 Assumptions'!$B$13)*C$6*SUMPRODUCT(1/(1+'10 Assumptions'!$B$6)^{1,2,3,4,5}))</f>
        <v>2288923.73315551</v>
      </c>
      <c r="D10" s="18" t="n">
        <f aca="false">('04 Savings Attribution'!$D$133*$A10*('10 Assumptions'!$B$17/(1+'10 Assumptions'!$B$6)+SUMPRODUCT('10 Assumptions'!$B$39^({2,3,4,5}-1)/(1+'10 Assumptions'!$B$6)^{2,3,4,5})))-(('10 Assumptions'!$B$14+'04 Savings Attribution'!$D$127*'10 Assumptions'!$B$15*'10 Assumptions'!$B$16)*D$6+('10 Assumptions'!$B$11*'10 Assumptions'!$B$12+'10 Assumptions'!$B$13)*D$6*SUMPRODUCT(1/(1+'10 Assumptions'!$B$6)^{1,2,3,4,5}))</f>
        <v>1984848.50380074</v>
      </c>
      <c r="E10" s="18" t="n">
        <f aca="false">('04 Savings Attribution'!$D$133*$A10*('10 Assumptions'!$B$17/(1+'10 Assumptions'!$B$6)+SUMPRODUCT('10 Assumptions'!$B$39^({2,3,4,5}-1)/(1+'10 Assumptions'!$B$6)^{2,3,4,5})))-(('10 Assumptions'!$B$14+'04 Savings Attribution'!$D$127*'10 Assumptions'!$B$15*'10 Assumptions'!$B$16)*E$6+('10 Assumptions'!$B$11*'10 Assumptions'!$B$12+'10 Assumptions'!$B$13)*E$6*SUMPRODUCT(1/(1+'10 Assumptions'!$B$6)^{1,2,3,4,5}))</f>
        <v>1528735.65976858</v>
      </c>
      <c r="F10" s="18" t="n">
        <f aca="false">('04 Savings Attribution'!$D$133*$A10*('10 Assumptions'!$B$17/(1+'10 Assumptions'!$B$6)+SUMPRODUCT('10 Assumptions'!$B$39^({2,3,4,5}-1)/(1+'10 Assumptions'!$B$6)^{2,3,4,5})))-(('10 Assumptions'!$B$14+'04 Savings Attribution'!$D$127*'10 Assumptions'!$B$15*'10 Assumptions'!$B$16)*F$6+('10 Assumptions'!$B$11*'10 Assumptions'!$B$12+'10 Assumptions'!$B$13)*F$6*SUMPRODUCT(1/(1+'10 Assumptions'!$B$6)^{1,2,3,4,5}))</f>
        <v>768547.586381658</v>
      </c>
    </row>
    <row r="11" customFormat="false" ht="15" hidden="false" customHeight="false" outlineLevel="0" collapsed="false">
      <c r="A11" s="57" t="n">
        <v>1</v>
      </c>
      <c r="B11" s="18" t="n">
        <f aca="false">('04 Savings Attribution'!$D$133*$A11*('10 Assumptions'!$B$17/(1+'10 Assumptions'!$B$6)+SUMPRODUCT('10 Assumptions'!$B$39^({2,3,4,5}-1)/(1+'10 Assumptions'!$B$6)^{2,3,4,5})))-(('10 Assumptions'!$B$14+'04 Savings Attribution'!$D$127*'10 Assumptions'!$B$15*'10 Assumptions'!$B$16)*B$6+('10 Assumptions'!$B$11*'10 Assumptions'!$B$12+'10 Assumptions'!$B$13)*B$6*SUMPRODUCT(1/(1+'10 Assumptions'!$B$6)^{1,2,3,4,5}))</f>
        <v>3137184.65964305</v>
      </c>
      <c r="C11" s="18" t="n">
        <f aca="false">('04 Savings Attribution'!$D$133*$A11*('10 Assumptions'!$B$17/(1+'10 Assumptions'!$B$6)+SUMPRODUCT('10 Assumptions'!$B$39^({2,3,4,5}-1)/(1+'10 Assumptions'!$B$6)^{2,3,4,5})))-(('10 Assumptions'!$B$14+'04 Savings Attribution'!$D$127*'10 Assumptions'!$B$15*'10 Assumptions'!$B$16)*C$6+('10 Assumptions'!$B$11*'10 Assumptions'!$B$12+'10 Assumptions'!$B$13)*C$6*SUMPRODUCT(1/(1+'10 Assumptions'!$B$6)^{1,2,3,4,5}))</f>
        <v>2833109.43028828</v>
      </c>
      <c r="D11" s="18" t="n">
        <f aca="false">('04 Savings Attribution'!$D$133*$A11*('10 Assumptions'!$B$17/(1+'10 Assumptions'!$B$6)+SUMPRODUCT('10 Assumptions'!$B$39^({2,3,4,5}-1)/(1+'10 Assumptions'!$B$6)^{2,3,4,5})))-(('10 Assumptions'!$B$14+'04 Savings Attribution'!$D$127*'10 Assumptions'!$B$15*'10 Assumptions'!$B$16)*D$6+('10 Assumptions'!$B$11*'10 Assumptions'!$B$12+'10 Assumptions'!$B$13)*D$6*SUMPRODUCT(1/(1+'10 Assumptions'!$B$6)^{1,2,3,4,5}))</f>
        <v>2529034.20093351</v>
      </c>
      <c r="E11" s="18" t="n">
        <f aca="false">('04 Savings Attribution'!$D$133*$A11*('10 Assumptions'!$B$17/(1+'10 Assumptions'!$B$6)+SUMPRODUCT('10 Assumptions'!$B$39^({2,3,4,5}-1)/(1+'10 Assumptions'!$B$6)^{2,3,4,5})))-(('10 Assumptions'!$B$14+'04 Savings Attribution'!$D$127*'10 Assumptions'!$B$15*'10 Assumptions'!$B$16)*E$6+('10 Assumptions'!$B$11*'10 Assumptions'!$B$12+'10 Assumptions'!$B$13)*E$6*SUMPRODUCT(1/(1+'10 Assumptions'!$B$6)^{1,2,3,4,5}))</f>
        <v>2072921.35690135</v>
      </c>
      <c r="F11" s="18" t="n">
        <f aca="false">('04 Savings Attribution'!$D$133*$A11*('10 Assumptions'!$B$17/(1+'10 Assumptions'!$B$6)+SUMPRODUCT('10 Assumptions'!$B$39^({2,3,4,5}-1)/(1+'10 Assumptions'!$B$6)^{2,3,4,5})))-(('10 Assumptions'!$B$14+'04 Savings Attribution'!$D$127*'10 Assumptions'!$B$15*'10 Assumptions'!$B$16)*F$6+('10 Assumptions'!$B$11*'10 Assumptions'!$B$12+'10 Assumptions'!$B$13)*F$6*SUMPRODUCT(1/(1+'10 Assumptions'!$B$6)^{1,2,3,4,5}))</f>
        <v>1312733.28351442</v>
      </c>
    </row>
    <row r="12" customFormat="false" ht="15" hidden="false" customHeight="false" outlineLevel="0" collapsed="false">
      <c r="A12" s="57" t="n">
        <v>1.125</v>
      </c>
      <c r="B12" s="18" t="n">
        <f aca="false">('04 Savings Attribution'!$D$133*$A12*('10 Assumptions'!$B$17/(1+'10 Assumptions'!$B$6)+SUMPRODUCT('10 Assumptions'!$B$39^({2,3,4,5}-1)/(1+'10 Assumptions'!$B$6)^{2,3,4,5})))-(('10 Assumptions'!$B$14+'04 Savings Attribution'!$D$127*'10 Assumptions'!$B$15*'10 Assumptions'!$B$16)*B$6+('10 Assumptions'!$B$11*'10 Assumptions'!$B$12+'10 Assumptions'!$B$13)*B$6*SUMPRODUCT(1/(1+'10 Assumptions'!$B$6)^{1,2,3,4,5}))</f>
        <v>3681370.35677581</v>
      </c>
      <c r="C12" s="18" t="n">
        <f aca="false">('04 Savings Attribution'!$D$133*$A12*('10 Assumptions'!$B$17/(1+'10 Assumptions'!$B$6)+SUMPRODUCT('10 Assumptions'!$B$39^({2,3,4,5}-1)/(1+'10 Assumptions'!$B$6)^{2,3,4,5})))-(('10 Assumptions'!$B$14+'04 Savings Attribution'!$D$127*'10 Assumptions'!$B$15*'10 Assumptions'!$B$16)*C$6+('10 Assumptions'!$B$11*'10 Assumptions'!$B$12+'10 Assumptions'!$B$13)*C$6*SUMPRODUCT(1/(1+'10 Assumptions'!$B$6)^{1,2,3,4,5}))</f>
        <v>3377295.12742104</v>
      </c>
      <c r="D12" s="18" t="n">
        <f aca="false">('04 Savings Attribution'!$D$133*$A12*('10 Assumptions'!$B$17/(1+'10 Assumptions'!$B$6)+SUMPRODUCT('10 Assumptions'!$B$39^({2,3,4,5}-1)/(1+'10 Assumptions'!$B$6)^{2,3,4,5})))-(('10 Assumptions'!$B$14+'04 Savings Attribution'!$D$127*'10 Assumptions'!$B$15*'10 Assumptions'!$B$16)*D$6+('10 Assumptions'!$B$11*'10 Assumptions'!$B$12+'10 Assumptions'!$B$13)*D$6*SUMPRODUCT(1/(1+'10 Assumptions'!$B$6)^{1,2,3,4,5}))</f>
        <v>3073219.89806627</v>
      </c>
      <c r="E12" s="18" t="n">
        <f aca="false">('04 Savings Attribution'!$D$133*$A12*('10 Assumptions'!$B$17/(1+'10 Assumptions'!$B$6)+SUMPRODUCT('10 Assumptions'!$B$39^({2,3,4,5}-1)/(1+'10 Assumptions'!$B$6)^{2,3,4,5})))-(('10 Assumptions'!$B$14+'04 Savings Attribution'!$D$127*'10 Assumptions'!$B$15*'10 Assumptions'!$B$16)*E$6+('10 Assumptions'!$B$11*'10 Assumptions'!$B$12+'10 Assumptions'!$B$13)*E$6*SUMPRODUCT(1/(1+'10 Assumptions'!$B$6)^{1,2,3,4,5}))</f>
        <v>2617107.05403412</v>
      </c>
      <c r="F12" s="18" t="n">
        <f aca="false">('04 Savings Attribution'!$D$133*$A12*('10 Assumptions'!$B$17/(1+'10 Assumptions'!$B$6)+SUMPRODUCT('10 Assumptions'!$B$39^({2,3,4,5}-1)/(1+'10 Assumptions'!$B$6)^{2,3,4,5})))-(('10 Assumptions'!$B$14+'04 Savings Attribution'!$D$127*'10 Assumptions'!$B$15*'10 Assumptions'!$B$16)*F$6+('10 Assumptions'!$B$11*'10 Assumptions'!$B$12+'10 Assumptions'!$B$13)*F$6*SUMPRODUCT(1/(1+'10 Assumptions'!$B$6)^{1,2,3,4,5}))</f>
        <v>1856918.98064719</v>
      </c>
    </row>
    <row r="13" customFormat="false" ht="15" hidden="false" customHeight="false" outlineLevel="0" collapsed="false">
      <c r="A13" s="57" t="n">
        <v>1.25</v>
      </c>
      <c r="B13" s="18" t="n">
        <f aca="false">('04 Savings Attribution'!$D$133*$A13*('10 Assumptions'!$B$17/(1+'10 Assumptions'!$B$6)+SUMPRODUCT('10 Assumptions'!$B$39^({2,3,4,5}-1)/(1+'10 Assumptions'!$B$6)^{2,3,4,5})))-(('10 Assumptions'!$B$14+'04 Savings Attribution'!$D$127*'10 Assumptions'!$B$15*'10 Assumptions'!$B$16)*B$6+('10 Assumptions'!$B$11*'10 Assumptions'!$B$12+'10 Assumptions'!$B$13)*B$6*SUMPRODUCT(1/(1+'10 Assumptions'!$B$6)^{1,2,3,4,5}))</f>
        <v>4225556.05390858</v>
      </c>
      <c r="C13" s="18" t="n">
        <f aca="false">('04 Savings Attribution'!$D$133*$A13*('10 Assumptions'!$B$17/(1+'10 Assumptions'!$B$6)+SUMPRODUCT('10 Assumptions'!$B$39^({2,3,4,5}-1)/(1+'10 Assumptions'!$B$6)^{2,3,4,5})))-(('10 Assumptions'!$B$14+'04 Savings Attribution'!$D$127*'10 Assumptions'!$B$15*'10 Assumptions'!$B$16)*C$6+('10 Assumptions'!$B$11*'10 Assumptions'!$B$12+'10 Assumptions'!$B$13)*C$6*SUMPRODUCT(1/(1+'10 Assumptions'!$B$6)^{1,2,3,4,5}))</f>
        <v>3921480.82455381</v>
      </c>
      <c r="D13" s="18" t="n">
        <f aca="false">('04 Savings Attribution'!$D$133*$A13*('10 Assumptions'!$B$17/(1+'10 Assumptions'!$B$6)+SUMPRODUCT('10 Assumptions'!$B$39^({2,3,4,5}-1)/(1+'10 Assumptions'!$B$6)^{2,3,4,5})))-(('10 Assumptions'!$B$14+'04 Savings Attribution'!$D$127*'10 Assumptions'!$B$15*'10 Assumptions'!$B$16)*D$6+('10 Assumptions'!$B$11*'10 Assumptions'!$B$12+'10 Assumptions'!$B$13)*D$6*SUMPRODUCT(1/(1+'10 Assumptions'!$B$6)^{1,2,3,4,5}))</f>
        <v>3617405.59519904</v>
      </c>
      <c r="E13" s="18" t="n">
        <f aca="false">('04 Savings Attribution'!$D$133*$A13*('10 Assumptions'!$B$17/(1+'10 Assumptions'!$B$6)+SUMPRODUCT('10 Assumptions'!$B$39^({2,3,4,5}-1)/(1+'10 Assumptions'!$B$6)^{2,3,4,5})))-(('10 Assumptions'!$B$14+'04 Savings Attribution'!$D$127*'10 Assumptions'!$B$15*'10 Assumptions'!$B$16)*E$6+('10 Assumptions'!$B$11*'10 Assumptions'!$B$12+'10 Assumptions'!$B$13)*E$6*SUMPRODUCT(1/(1+'10 Assumptions'!$B$6)^{1,2,3,4,5}))</f>
        <v>3161292.75116688</v>
      </c>
      <c r="F13" s="18" t="n">
        <f aca="false">('04 Savings Attribution'!$D$133*$A13*('10 Assumptions'!$B$17/(1+'10 Assumptions'!$B$6)+SUMPRODUCT('10 Assumptions'!$B$39^({2,3,4,5}-1)/(1+'10 Assumptions'!$B$6)^{2,3,4,5})))-(('10 Assumptions'!$B$14+'04 Savings Attribution'!$D$127*'10 Assumptions'!$B$15*'10 Assumptions'!$B$16)*F$6+('10 Assumptions'!$B$11*'10 Assumptions'!$B$12+'10 Assumptions'!$B$13)*F$6*SUMPRODUCT(1/(1+'10 Assumptions'!$B$6)^{1,2,3,4,5}))</f>
        <v>2401104.67777996</v>
      </c>
    </row>
    <row r="15" customFormat="false" ht="15" hidden="false" customHeight="false" outlineLevel="0" collapsed="false">
      <c r="A15" s="4" t="s">
        <v>494</v>
      </c>
    </row>
    <row r="16" customFormat="false" ht="15" hidden="false" customHeight="false" outlineLevel="0" collapsed="false">
      <c r="A16" s="2" t="s">
        <v>495</v>
      </c>
      <c r="B16" s="57" t="n">
        <v>0.6</v>
      </c>
      <c r="C16" s="57" t="n">
        <v>0.7</v>
      </c>
      <c r="D16" s="57" t="n">
        <v>0.8</v>
      </c>
      <c r="E16" s="57" t="n">
        <v>0.85</v>
      </c>
      <c r="F16" s="57" t="n">
        <v>0.9</v>
      </c>
      <c r="G16" s="57" t="n">
        <v>1</v>
      </c>
    </row>
    <row r="17" customFormat="false" ht="15" hidden="false" customHeight="false" outlineLevel="0" collapsed="false">
      <c r="A17" s="58" t="n">
        <v>0.08</v>
      </c>
      <c r="B17" s="18" t="n">
        <f aca="false">('04 Savings Attribution'!$D$133*'10 Assumptions'!$B$36*('10 Assumptions'!$B$17/(1+$A17)+SUMPRODUCT(B$16^({2,3,4,5}-1)/(1+$A17)^{2,3,4,5})))-(('10 Assumptions'!$B$14+'04 Savings Attribution'!$D$127*'10 Assumptions'!$B$15*'10 Assumptions'!$B$16)*'10 Assumptions'!$B$37+('10 Assumptions'!$B$11*'10 Assumptions'!$B$12+'10 Assumptions'!$B$13)*'10 Assumptions'!$B$37*SUMPRODUCT(1/(1+$A17)^{1,2,3,4,5}))</f>
        <v>1179500.11426944</v>
      </c>
      <c r="C17" s="18" t="n">
        <f aca="false">('04 Savings Attribution'!$D$133*'10 Assumptions'!$B$36*('10 Assumptions'!$B$17/(1+$A17)+SUMPRODUCT(C$16^({2,3,4,5}-1)/(1+$A17)^{2,3,4,5})))-(('10 Assumptions'!$B$14+'04 Savings Attribution'!$D$127*'10 Assumptions'!$B$15*'10 Assumptions'!$B$16)*'10 Assumptions'!$B$37+('10 Assumptions'!$B$11*'10 Assumptions'!$B$12+'10 Assumptions'!$B$13)*'10 Assumptions'!$B$37*SUMPRODUCT(1/(1+$A17)^{1,2,3,4,5}))</f>
        <v>1848939.2711813</v>
      </c>
      <c r="D17" s="18" t="n">
        <f aca="false">('04 Savings Attribution'!$D$133*'10 Assumptions'!$B$36*('10 Assumptions'!$B$17/(1+$A17)+SUMPRODUCT(D$16^({2,3,4,5}-1)/(1+$A17)^{2,3,4,5})))-(('10 Assumptions'!$B$14+'04 Savings Attribution'!$D$127*'10 Assumptions'!$B$15*'10 Assumptions'!$B$16)*'10 Assumptions'!$B$37+('10 Assumptions'!$B$11*'10 Assumptions'!$B$12+'10 Assumptions'!$B$13)*'10 Assumptions'!$B$37*SUMPRODUCT(1/(1+$A17)^{1,2,3,4,5}))</f>
        <v>2681114.64694071</v>
      </c>
      <c r="E17" s="18" t="n">
        <f aca="false">('04 Savings Attribution'!$D$133*'10 Assumptions'!$B$36*('10 Assumptions'!$B$17/(1+$A17)+SUMPRODUCT(E$16^({2,3,4,5}-1)/(1+$A17)^{2,3,4,5})))-(('10 Assumptions'!$B$14+'04 Savings Attribution'!$D$127*'10 Assumptions'!$B$15*'10 Assumptions'!$B$16)*'10 Assumptions'!$B$37+('10 Assumptions'!$B$11*'10 Assumptions'!$B$12+'10 Assumptions'!$B$13)*'10 Assumptions'!$B$37*SUMPRODUCT(1/(1+$A17)^{1,2,3,4,5}))</f>
        <v>3167858.73104201</v>
      </c>
      <c r="F17" s="18" t="n">
        <f aca="false">('04 Savings Attribution'!$D$133*'10 Assumptions'!$B$36*('10 Assumptions'!$B$17/(1+$A17)+SUMPRODUCT(F$16^({2,3,4,5}-1)/(1+$A17)^{2,3,4,5})))-(('10 Assumptions'!$B$14+'04 Savings Attribution'!$D$127*'10 Assumptions'!$B$15*'10 Assumptions'!$B$16)*'10 Assumptions'!$B$37+('10 Assumptions'!$B$11*'10 Assumptions'!$B$12+'10 Assumptions'!$B$13)*'10 Assumptions'!$B$37*SUMPRODUCT(1/(1+$A17)^{1,2,3,4,5}))</f>
        <v>3707225.59181853</v>
      </c>
      <c r="G17" s="18" t="n">
        <f aca="false">('04 Savings Attribution'!$D$133*'10 Assumptions'!$B$36*('10 Assumptions'!$B$17/(1+$A17)+SUMPRODUCT(G$16^({2,3,4,5}-1)/(1+$A17)^{2,3,4,5})))-(('10 Assumptions'!$B$14+'04 Savings Attribution'!$D$127*'10 Assumptions'!$B$15*'10 Assumptions'!$B$16)*'10 Assumptions'!$B$37+('10 Assumptions'!$B$11*'10 Assumptions'!$B$12+'10 Assumptions'!$B$13)*'10 Assumptions'!$B$37*SUMPRODUCT(1/(1+$A17)^{1,2,3,4,5}))</f>
        <v>4961530.21591614</v>
      </c>
    </row>
    <row r="18" customFormat="false" ht="15" hidden="false" customHeight="false" outlineLevel="0" collapsed="false">
      <c r="A18" s="58" t="n">
        <v>0.1</v>
      </c>
      <c r="B18" s="18" t="n">
        <f aca="false">('04 Savings Attribution'!$D$133*'10 Assumptions'!$B$36*('10 Assumptions'!$B$17/(1+$A18)+SUMPRODUCT(B$16^({2,3,4,5}-1)/(1+$A18)^{2,3,4,5})))-(('10 Assumptions'!$B$14+'04 Savings Attribution'!$D$127*'10 Assumptions'!$B$15*'10 Assumptions'!$B$16)*'10 Assumptions'!$B$37+('10 Assumptions'!$B$11*'10 Assumptions'!$B$12+'10 Assumptions'!$B$13)*'10 Assumptions'!$B$37*SUMPRODUCT(1/(1+$A18)^{1,2,3,4,5}))</f>
        <v>1131478.96980551</v>
      </c>
      <c r="C18" s="18" t="n">
        <f aca="false">('04 Savings Attribution'!$D$133*'10 Assumptions'!$B$36*('10 Assumptions'!$B$17/(1+$A18)+SUMPRODUCT(C$16^({2,3,4,5}-1)/(1+$A18)^{2,3,4,5})))-(('10 Assumptions'!$B$14+'04 Savings Attribution'!$D$127*'10 Assumptions'!$B$15*'10 Assumptions'!$B$16)*'10 Assumptions'!$B$37+('10 Assumptions'!$B$11*'10 Assumptions'!$B$12+'10 Assumptions'!$B$13)*'10 Assumptions'!$B$37*SUMPRODUCT(1/(1+$A18)^{1,2,3,4,5}))</f>
        <v>1760066.16437398</v>
      </c>
      <c r="D18" s="18" t="n">
        <f aca="false">('04 Savings Attribution'!$D$133*'10 Assumptions'!$B$36*('10 Assumptions'!$B$17/(1+$A18)+SUMPRODUCT(D$16^({2,3,4,5}-1)/(1+$A18)^{2,3,4,5})))-(('10 Assumptions'!$B$14+'04 Savings Attribution'!$D$127*'10 Assumptions'!$B$15*'10 Assumptions'!$B$16)*'10 Assumptions'!$B$37+('10 Assumptions'!$B$11*'10 Assumptions'!$B$12+'10 Assumptions'!$B$13)*'10 Assumptions'!$B$37*SUMPRODUCT(1/(1+$A18)^{1,2,3,4,5}))</f>
        <v>2539114.29674703</v>
      </c>
      <c r="E18" s="18" t="n">
        <f aca="false">('04 Savings Attribution'!$D$133*'10 Assumptions'!$B$36*('10 Assumptions'!$B$17/(1+$A18)+SUMPRODUCT(E$16^({2,3,4,5}-1)/(1+$A18)^{2,3,4,5})))-(('10 Assumptions'!$B$14+'04 Savings Attribution'!$D$127*'10 Assumptions'!$B$15*'10 Assumptions'!$B$16)*'10 Assumptions'!$B$37+('10 Assumptions'!$B$11*'10 Assumptions'!$B$12+'10 Assumptions'!$B$13)*'10 Assumptions'!$B$37*SUMPRODUCT(1/(1+$A18)^{1,2,3,4,5}))</f>
        <v>2993890.91125984</v>
      </c>
      <c r="F18" s="18" t="n">
        <f aca="false">('04 Savings Attribution'!$D$133*'10 Assumptions'!$B$36*('10 Assumptions'!$B$17/(1+$A18)+SUMPRODUCT(F$16^({2,3,4,5}-1)/(1+$A18)^{2,3,4,5})))-(('10 Assumptions'!$B$14+'04 Savings Attribution'!$D$127*'10 Assumptions'!$B$15*'10 Assumptions'!$B$16)*'10 Assumptions'!$B$37+('10 Assumptions'!$B$11*'10 Assumptions'!$B$12+'10 Assumptions'!$B$13)*'10 Assumptions'!$B$37*SUMPRODUCT(1/(1+$A18)^{1,2,3,4,5}))</f>
        <v>3497227.22372523</v>
      </c>
      <c r="G18" s="18" t="n">
        <f aca="false">('04 Savings Attribution'!$D$133*'10 Assumptions'!$B$36*('10 Assumptions'!$B$17/(1+$A18)+SUMPRODUCT(G$16^({2,3,4,5}-1)/(1+$A18)^{2,3,4,5})))-(('10 Assumptions'!$B$14+'04 Savings Attribution'!$D$127*'10 Assumptions'!$B$15*'10 Assumptions'!$B$16)*'10 Assumptions'!$B$37+('10 Assumptions'!$B$11*'10 Assumptions'!$B$12+'10 Assumptions'!$B$13)*'10 Assumptions'!$B$37*SUMPRODUCT(1/(1+$A18)^{1,2,3,4,5}))</f>
        <v>4665799.42228481</v>
      </c>
    </row>
    <row r="19" customFormat="false" ht="15" hidden="false" customHeight="false" outlineLevel="0" collapsed="false">
      <c r="A19" s="58" t="n">
        <v>0.12</v>
      </c>
      <c r="B19" s="18" t="n">
        <f aca="false">('04 Savings Attribution'!$D$133*'10 Assumptions'!$B$36*('10 Assumptions'!$B$17/(1+$A19)+SUMPRODUCT(B$16^({2,3,4,5}-1)/(1+$A19)^{2,3,4,5})))-(('10 Assumptions'!$B$14+'04 Savings Attribution'!$D$127*'10 Assumptions'!$B$15*'10 Assumptions'!$B$16)*'10 Assumptions'!$B$37+('10 Assumptions'!$B$11*'10 Assumptions'!$B$12+'10 Assumptions'!$B$13)*'10 Assumptions'!$B$37*SUMPRODUCT(1/(1+$A19)^{1,2,3,4,5}))</f>
        <v>1085948.81950343</v>
      </c>
      <c r="C19" s="18" t="n">
        <f aca="false">('04 Savings Attribution'!$D$133*'10 Assumptions'!$B$36*('10 Assumptions'!$B$17/(1+$A19)+SUMPRODUCT(C$16^({2,3,4,5}-1)/(1+$A19)^{2,3,4,5})))-(('10 Assumptions'!$B$14+'04 Savings Attribution'!$D$127*'10 Assumptions'!$B$15*'10 Assumptions'!$B$16)*'10 Assumptions'!$B$37+('10 Assumptions'!$B$11*'10 Assumptions'!$B$12+'10 Assumptions'!$B$13)*'10 Assumptions'!$B$37*SUMPRODUCT(1/(1+$A19)^{1,2,3,4,5}))</f>
        <v>1677068.75711088</v>
      </c>
      <c r="D19" s="18" t="n">
        <f aca="false">('04 Savings Attribution'!$D$133*'10 Assumptions'!$B$36*('10 Assumptions'!$B$17/(1+$A19)+SUMPRODUCT(D$16^({2,3,4,5}-1)/(1+$A19)^{2,3,4,5})))-(('10 Assumptions'!$B$14+'04 Savings Attribution'!$D$127*'10 Assumptions'!$B$15*'10 Assumptions'!$B$16)*'10 Assumptions'!$B$37+('10 Assumptions'!$B$11*'10 Assumptions'!$B$12+'10 Assumptions'!$B$13)*'10 Assumptions'!$B$37*SUMPRODUCT(1/(1+$A19)^{1,2,3,4,5}))</f>
        <v>2407523.05814391</v>
      </c>
      <c r="E19" s="18" t="n">
        <f aca="false">('04 Savings Attribution'!$D$133*'10 Assumptions'!$B$36*('10 Assumptions'!$B$17/(1+$A19)+SUMPRODUCT(E$16^({2,3,4,5}-1)/(1+$A19)^{2,3,4,5})))-(('10 Assumptions'!$B$14+'04 Savings Attribution'!$D$127*'10 Assumptions'!$B$15*'10 Assumptions'!$B$16)*'10 Assumptions'!$B$37+('10 Assumptions'!$B$11*'10 Assumptions'!$B$12+'10 Assumptions'!$B$13)*'10 Assumptions'!$B$37*SUMPRODUCT(1/(1+$A19)^{1,2,3,4,5}))</f>
        <v>2833109.43028828</v>
      </c>
      <c r="F19" s="18" t="n">
        <f aca="false">('04 Savings Attribution'!$D$133*'10 Assumptions'!$B$36*('10 Assumptions'!$B$17/(1+$A19)+SUMPRODUCT(F$16^({2,3,4,5}-1)/(1+$A19)^{2,3,4,5})))-(('10 Assumptions'!$B$14+'04 Savings Attribution'!$D$127*'10 Assumptions'!$B$15*'10 Assumptions'!$B$16)*'10 Assumptions'!$B$37+('10 Assumptions'!$B$11*'10 Assumptions'!$B$12+'10 Assumptions'!$B$13)*'10 Assumptions'!$B$37*SUMPRODUCT(1/(1+$A19)^{1,2,3,4,5}))</f>
        <v>3303578.77055474</v>
      </c>
      <c r="G19" s="18" t="n">
        <f aca="false">('04 Savings Attribution'!$D$133*'10 Assumptions'!$B$36*('10 Assumptions'!$B$17/(1+$A19)+SUMPRODUCT(G$16^({2,3,4,5}-1)/(1+$A19)^{2,3,4,5})))-(('10 Assumptions'!$B$14+'04 Savings Attribution'!$D$127*'10 Assumptions'!$B$15*'10 Assumptions'!$B$16)*'10 Assumptions'!$B$37+('10 Assumptions'!$B$11*'10 Assumptions'!$B$12+'10 Assumptions'!$B$13)*'10 Assumptions'!$B$37*SUMPRODUCT(1/(1+$A19)^{1,2,3,4,5}))</f>
        <v>4394053.14112592</v>
      </c>
    </row>
    <row r="20" customFormat="false" ht="15" hidden="false" customHeight="false" outlineLevel="0" collapsed="false">
      <c r="A20" s="58" t="n">
        <v>0.15</v>
      </c>
      <c r="B20" s="18" t="n">
        <f aca="false">('04 Savings Attribution'!$D$133*'10 Assumptions'!$B$36*('10 Assumptions'!$B$17/(1+$A20)+SUMPRODUCT(B$16^({2,3,4,5}-1)/(1+$A20)^{2,3,4,5})))-(('10 Assumptions'!$B$14+'04 Savings Attribution'!$D$127*'10 Assumptions'!$B$15*'10 Assumptions'!$B$16)*'10 Assumptions'!$B$37+('10 Assumptions'!$B$11*'10 Assumptions'!$B$12+'10 Assumptions'!$B$13)*'10 Assumptions'!$B$37*SUMPRODUCT(1/(1+$A20)^{1,2,3,4,5}))</f>
        <v>1021958.54468216</v>
      </c>
      <c r="C20" s="18" t="n">
        <f aca="false">('04 Savings Attribution'!$D$133*'10 Assumptions'!$B$36*('10 Assumptions'!$B$17/(1+$A20)+SUMPRODUCT(C$16^({2,3,4,5}-1)/(1+$A20)^{2,3,4,5})))-(('10 Assumptions'!$B$14+'04 Savings Attribution'!$D$127*'10 Assumptions'!$B$15*'10 Assumptions'!$B$16)*'10 Assumptions'!$B$37+('10 Assumptions'!$B$11*'10 Assumptions'!$B$12+'10 Assumptions'!$B$13)*'10 Assumptions'!$B$37*SUMPRODUCT(1/(1+$A20)^{1,2,3,4,5}))</f>
        <v>1562479.69495634</v>
      </c>
      <c r="D20" s="18" t="n">
        <f aca="false">('04 Savings Attribution'!$D$133*'10 Assumptions'!$B$36*('10 Assumptions'!$B$17/(1+$A20)+SUMPRODUCT(D$16^({2,3,4,5}-1)/(1+$A20)^{2,3,4,5})))-(('10 Assumptions'!$B$14+'04 Savings Attribution'!$D$127*'10 Assumptions'!$B$15*'10 Assumptions'!$B$16)*'10 Assumptions'!$B$37+('10 Assumptions'!$B$11*'10 Assumptions'!$B$12+'10 Assumptions'!$B$13)*'10 Assumptions'!$B$37*SUMPRODUCT(1/(1+$A20)^{1,2,3,4,5}))</f>
        <v>2227526.11830478</v>
      </c>
      <c r="E20" s="18" t="n">
        <f aca="false">('04 Savings Attribution'!$D$133*'10 Assumptions'!$B$36*('10 Assumptions'!$B$17/(1+$A20)+SUMPRODUCT(E$16^({2,3,4,5}-1)/(1+$A20)^{2,3,4,5})))-(('10 Assumptions'!$B$14+'04 Savings Attribution'!$D$127*'10 Assumptions'!$B$15*'10 Assumptions'!$B$16)*'10 Assumptions'!$B$37+('10 Assumptions'!$B$11*'10 Assumptions'!$B$12+'10 Assumptions'!$B$13)*'10 Assumptions'!$B$37*SUMPRODUCT(1/(1+$A20)^{1,2,3,4,5}))</f>
        <v>2613903.60111461</v>
      </c>
      <c r="F20" s="18" t="n">
        <f aca="false">('04 Savings Attribution'!$D$133*'10 Assumptions'!$B$36*('10 Assumptions'!$B$17/(1+$A20)+SUMPRODUCT(F$16^({2,3,4,5}-1)/(1+$A20)^{2,3,4,5})))-(('10 Assumptions'!$B$14+'04 Savings Attribution'!$D$127*'10 Assumptions'!$B$15*'10 Assumptions'!$B$16)*'10 Assumptions'!$B$37+('10 Assumptions'!$B$11*'10 Assumptions'!$B$12+'10 Assumptions'!$B$13)*'10 Assumptions'!$B$37*SUMPRODUCT(1/(1+$A20)^{1,2,3,4,5}))</f>
        <v>3040280.46369606</v>
      </c>
      <c r="G20" s="18" t="n">
        <f aca="false">('04 Savings Attribution'!$D$133*'10 Assumptions'!$B$36*('10 Assumptions'!$B$17/(1+$A20)+SUMPRODUCT(G$16^({2,3,4,5}-1)/(1+$A20)^{2,3,4,5})))-(('10 Assumptions'!$B$14+'04 Savings Attribution'!$D$127*'10 Assumptions'!$B$15*'10 Assumptions'!$B$16)*'10 Assumptions'!$B$37+('10 Assumptions'!$B$11*'10 Assumptions'!$B$12+'10 Assumptions'!$B$13)*'10 Assumptions'!$B$37*SUMPRODUCT(1/(1+$A20)^{1,2,3,4,5}))</f>
        <v>4026159.85228852</v>
      </c>
    </row>
    <row r="21" customFormat="false" ht="15" hidden="false" customHeight="false" outlineLevel="0" collapsed="false">
      <c r="A21" s="58" t="n">
        <v>0.2</v>
      </c>
      <c r="B21" s="18" t="n">
        <f aca="false">('04 Savings Attribution'!$D$133*'10 Assumptions'!$B$36*('10 Assumptions'!$B$17/(1+$A21)+SUMPRODUCT(B$16^({2,3,4,5}-1)/(1+$A21)^{2,3,4,5})))-(('10 Assumptions'!$B$14+'04 Savings Attribution'!$D$127*'10 Assumptions'!$B$15*'10 Assumptions'!$B$16)*'10 Assumptions'!$B$37+('10 Assumptions'!$B$11*'10 Assumptions'!$B$12+'10 Assumptions'!$B$13)*'10 Assumptions'!$B$37*SUMPRODUCT(1/(1+$A21)^{1,2,3,4,5}))</f>
        <v>925557.522462646</v>
      </c>
      <c r="C21" s="18" t="n">
        <f aca="false">('04 Savings Attribution'!$D$133*'10 Assumptions'!$B$36*('10 Assumptions'!$B$17/(1+$A21)+SUMPRODUCT(C$16^({2,3,4,5}-1)/(1+$A21)^{2,3,4,5})))-(('10 Assumptions'!$B$14+'04 Savings Attribution'!$D$127*'10 Assumptions'!$B$15*'10 Assumptions'!$B$16)*'10 Assumptions'!$B$37+('10 Assumptions'!$B$11*'10 Assumptions'!$B$12+'10 Assumptions'!$B$13)*'10 Assumptions'!$B$37*SUMPRODUCT(1/(1+$A21)^{1,2,3,4,5}))</f>
        <v>1394333.13987644</v>
      </c>
      <c r="D21" s="18" t="n">
        <f aca="false">('04 Savings Attribution'!$D$133*'10 Assumptions'!$B$36*('10 Assumptions'!$B$17/(1+$A21)+SUMPRODUCT(D$16^({2,3,4,5}-1)/(1+$A21)^{2,3,4,5})))-(('10 Assumptions'!$B$14+'04 Savings Attribution'!$D$127*'10 Assumptions'!$B$15*'10 Assumptions'!$B$16)*'10 Assumptions'!$B$37+('10 Assumptions'!$B$11*'10 Assumptions'!$B$12+'10 Assumptions'!$B$13)*'10 Assumptions'!$B$37*SUMPRODUCT(1/(1+$A21)^{1,2,3,4,5}))</f>
        <v>1967113.8790218</v>
      </c>
      <c r="E21" s="18" t="n">
        <f aca="false">('04 Savings Attribution'!$D$133*'10 Assumptions'!$B$36*('10 Assumptions'!$B$17/(1+$A21)+SUMPRODUCT(E$16^({2,3,4,5}-1)/(1+$A21)^{2,3,4,5})))-(('10 Assumptions'!$B$14+'04 Savings Attribution'!$D$127*'10 Assumptions'!$B$15*'10 Assumptions'!$B$16)*'10 Assumptions'!$B$37+('10 Assumptions'!$B$11*'10 Assumptions'!$B$12+'10 Assumptions'!$B$13)*'10 Assumptions'!$B$37*SUMPRODUCT(1/(1+$A21)^{1,2,3,4,5}))</f>
        <v>2298362.10161337</v>
      </c>
      <c r="F21" s="18" t="n">
        <f aca="false">('04 Savings Attribution'!$D$133*'10 Assumptions'!$B$36*('10 Assumptions'!$B$17/(1+$A21)+SUMPRODUCT(F$16^({2,3,4,5}-1)/(1+$A21)^{2,3,4,5})))-(('10 Assumptions'!$B$14+'04 Savings Attribution'!$D$127*'10 Assumptions'!$B$15*'10 Assumptions'!$B$16)*'10 Assumptions'!$B$37+('10 Assumptions'!$B$11*'10 Assumptions'!$B$12+'10 Assumptions'!$B$13)*'10 Assumptions'!$B$37*SUMPRODUCT(1/(1+$A21)^{1,2,3,4,5}))</f>
        <v>2662864.49436785</v>
      </c>
      <c r="G21" s="18" t="n">
        <f aca="false">('04 Savings Attribution'!$D$133*'10 Assumptions'!$B$36*('10 Assumptions'!$B$17/(1+$A21)+SUMPRODUCT(G$16^({2,3,4,5}-1)/(1+$A21)^{2,3,4,5})))-(('10 Assumptions'!$B$14+'04 Savings Attribution'!$D$127*'10 Assumptions'!$B$15*'10 Assumptions'!$B$16)*'10 Assumptions'!$B$37+('10 Assumptions'!$B$11*'10 Assumptions'!$B$12+'10 Assumptions'!$B$13)*'10 Assumptions'!$B$37*SUMPRODUCT(1/(1+$A21)^{1,2,3,4,5}))</f>
        <v>3502355.90747603</v>
      </c>
    </row>
    <row r="23" customFormat="false" ht="15" hidden="false" customHeight="false" outlineLevel="0" collapsed="false">
      <c r="A23" s="2" t="s">
        <v>496</v>
      </c>
      <c r="B23" s="59" t="n">
        <f aca="false">C11-'07 ROI Analysis'!$B$26</f>
        <v>0</v>
      </c>
    </row>
  </sheetData>
  <conditionalFormatting sqref="B7:F13">
    <cfRule type="cellIs" priority="2" operator="lessThan" aboveAverage="0" equalAverage="0" bottom="0" percent="0" rank="0" text="" dxfId="0">
      <formula>0</formula>
    </cfRule>
  </conditionalFormatting>
  <conditionalFormatting sqref="B17:G21">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60"/>
  </cols>
  <sheetData>
    <row r="1" customFormat="false" ht="19.7" hidden="false" customHeight="false" outlineLevel="0" collapsed="false">
      <c r="A1" s="1" t="s">
        <v>36</v>
      </c>
    </row>
    <row r="2" customFormat="false" ht="15" hidden="false" customHeight="false" outlineLevel="0" collapsed="false">
      <c r="A2" s="2" t="s">
        <v>497</v>
      </c>
    </row>
    <row r="5" customFormat="false" ht="15" hidden="false" customHeight="false" outlineLevel="0" collapsed="false">
      <c r="A5" s="4" t="s">
        <v>498</v>
      </c>
    </row>
    <row r="6" customFormat="false" ht="15" hidden="false" customHeight="false" outlineLevel="0" collapsed="false">
      <c r="A6" s="5" t="s">
        <v>499</v>
      </c>
      <c r="B6" s="60" t="n">
        <v>0.12</v>
      </c>
      <c r="E6" s="2" t="s">
        <v>500</v>
      </c>
    </row>
    <row r="7" customFormat="false" ht="15" hidden="false" customHeight="false" outlineLevel="0" collapsed="false">
      <c r="A7" s="5" t="s">
        <v>501</v>
      </c>
      <c r="B7" s="61" t="n">
        <v>5</v>
      </c>
      <c r="E7" s="2" t="s">
        <v>502</v>
      </c>
    </row>
    <row r="8" customFormat="false" ht="15" hidden="false" customHeight="false" outlineLevel="0" collapsed="false">
      <c r="A8" s="5" t="s">
        <v>503</v>
      </c>
      <c r="B8" s="60" t="n">
        <v>0.85</v>
      </c>
      <c r="E8" s="2" t="s">
        <v>504</v>
      </c>
    </row>
    <row r="10" customFormat="false" ht="15" hidden="false" customHeight="false" outlineLevel="0" collapsed="false">
      <c r="A10" s="4" t="s">
        <v>440</v>
      </c>
    </row>
    <row r="11" customFormat="false" ht="15" hidden="false" customHeight="false" outlineLevel="0" collapsed="false">
      <c r="A11" s="5" t="s">
        <v>505</v>
      </c>
      <c r="B11" s="62" t="n">
        <v>1.5</v>
      </c>
      <c r="E11" s="2" t="s">
        <v>506</v>
      </c>
    </row>
    <row r="12" customFormat="false" ht="15" hidden="false" customHeight="false" outlineLevel="0" collapsed="false">
      <c r="A12" s="5" t="s">
        <v>507</v>
      </c>
      <c r="B12" s="63" t="n">
        <v>180000</v>
      </c>
      <c r="E12" s="2" t="s">
        <v>508</v>
      </c>
    </row>
    <row r="13" customFormat="false" ht="15" hidden="false" customHeight="false" outlineLevel="0" collapsed="false">
      <c r="A13" s="5" t="s">
        <v>509</v>
      </c>
      <c r="B13" s="63" t="n">
        <v>60000</v>
      </c>
      <c r="E13" s="2" t="s">
        <v>510</v>
      </c>
    </row>
    <row r="14" customFormat="false" ht="15" hidden="false" customHeight="false" outlineLevel="0" collapsed="false">
      <c r="A14" s="5" t="s">
        <v>427</v>
      </c>
      <c r="B14" s="63" t="n">
        <v>50000</v>
      </c>
      <c r="E14" s="2" t="s">
        <v>511</v>
      </c>
    </row>
    <row r="15" customFormat="false" ht="15" hidden="false" customHeight="false" outlineLevel="0" collapsed="false">
      <c r="A15" s="5" t="s">
        <v>512</v>
      </c>
      <c r="B15" s="64" t="n">
        <v>16</v>
      </c>
      <c r="E15" s="2" t="s">
        <v>513</v>
      </c>
    </row>
    <row r="16" customFormat="false" ht="15" hidden="false" customHeight="false" outlineLevel="0" collapsed="false">
      <c r="A16" s="5" t="s">
        <v>514</v>
      </c>
      <c r="B16" s="63" t="n">
        <v>150</v>
      </c>
      <c r="E16" s="2" t="s">
        <v>515</v>
      </c>
    </row>
    <row r="17" customFormat="false" ht="15" hidden="false" customHeight="false" outlineLevel="0" collapsed="false">
      <c r="A17" s="5" t="s">
        <v>516</v>
      </c>
      <c r="B17" s="65" t="n">
        <v>0.5</v>
      </c>
      <c r="E17" s="2" t="s">
        <v>517</v>
      </c>
    </row>
    <row r="19" customFormat="false" ht="15" hidden="false" customHeight="false" outlineLevel="0" collapsed="false">
      <c r="A19" s="4" t="s">
        <v>518</v>
      </c>
    </row>
    <row r="20" customFormat="false" ht="15" hidden="false" customHeight="false" outlineLevel="0" collapsed="false">
      <c r="A20" s="5" t="s">
        <v>519</v>
      </c>
      <c r="B20" s="60" t="n">
        <v>0.15</v>
      </c>
      <c r="E20" s="2" t="s">
        <v>520</v>
      </c>
    </row>
    <row r="21" customFormat="false" ht="15" hidden="false" customHeight="false" outlineLevel="0" collapsed="false">
      <c r="A21" s="5" t="s">
        <v>521</v>
      </c>
      <c r="B21" s="61" t="n">
        <v>6</v>
      </c>
      <c r="E21" s="2" t="s">
        <v>522</v>
      </c>
    </row>
    <row r="23" customFormat="false" ht="15" hidden="false" customHeight="false" outlineLevel="0" collapsed="false">
      <c r="A23" s="4" t="s">
        <v>523</v>
      </c>
    </row>
    <row r="24" customFormat="false" ht="15" hidden="false" customHeight="false" outlineLevel="0" collapsed="false">
      <c r="A24" s="5" t="s">
        <v>524</v>
      </c>
      <c r="B24" s="66" t="s">
        <v>525</v>
      </c>
      <c r="E24" s="2" t="s">
        <v>526</v>
      </c>
    </row>
    <row r="26" customFormat="false" ht="15" hidden="false" customHeight="false" outlineLevel="0" collapsed="false">
      <c r="A26" s="4" t="s">
        <v>527</v>
      </c>
    </row>
    <row r="27" customFormat="false" ht="15" hidden="false" customHeight="false" outlineLevel="0" collapsed="false">
      <c r="A27" s="5" t="s">
        <v>528</v>
      </c>
      <c r="B27" s="66" t="s">
        <v>462</v>
      </c>
      <c r="E27" s="2" t="s">
        <v>529</v>
      </c>
    </row>
    <row r="29" customFormat="false" ht="30" hidden="false" customHeight="true" outlineLevel="0" collapsed="false">
      <c r="A29" s="6" t="s">
        <v>530</v>
      </c>
      <c r="B29" s="6" t="s">
        <v>462</v>
      </c>
      <c r="C29" s="6" t="s">
        <v>463</v>
      </c>
      <c r="D29" s="6" t="s">
        <v>464</v>
      </c>
      <c r="E29" s="6" t="s">
        <v>531</v>
      </c>
    </row>
    <row r="30" customFormat="false" ht="15" hidden="false" customHeight="false" outlineLevel="0" collapsed="false">
      <c r="A30" s="5" t="s">
        <v>467</v>
      </c>
      <c r="B30" s="57" t="n">
        <v>1</v>
      </c>
      <c r="C30" s="57" t="n">
        <v>1.1</v>
      </c>
      <c r="D30" s="57" t="n">
        <v>0.75</v>
      </c>
      <c r="E30" s="2" t="s">
        <v>532</v>
      </c>
    </row>
    <row r="31" customFormat="false" ht="15" hidden="false" customHeight="false" outlineLevel="0" collapsed="false">
      <c r="A31" s="5" t="s">
        <v>468</v>
      </c>
      <c r="B31" s="56" t="n">
        <v>1</v>
      </c>
      <c r="C31" s="56" t="n">
        <v>0.9</v>
      </c>
      <c r="D31" s="56" t="n">
        <v>1.3</v>
      </c>
      <c r="E31" s="2" t="s">
        <v>533</v>
      </c>
    </row>
    <row r="32" customFormat="false" ht="15" hidden="false" customHeight="false" outlineLevel="0" collapsed="false">
      <c r="A32" s="5" t="s">
        <v>469</v>
      </c>
      <c r="B32" s="57" t="n">
        <v>0.15</v>
      </c>
      <c r="C32" s="57" t="n">
        <v>0.1</v>
      </c>
      <c r="D32" s="57" t="n">
        <v>0.25</v>
      </c>
      <c r="E32" s="2" t="s">
        <v>534</v>
      </c>
    </row>
    <row r="33" customFormat="false" ht="15" hidden="false" customHeight="false" outlineLevel="0" collapsed="false">
      <c r="A33" s="5" t="s">
        <v>470</v>
      </c>
      <c r="B33" s="57" t="n">
        <v>0.85</v>
      </c>
      <c r="C33" s="57" t="n">
        <v>0.9</v>
      </c>
      <c r="D33" s="57" t="n">
        <v>0.7</v>
      </c>
      <c r="E33" s="2" t="s">
        <v>535</v>
      </c>
    </row>
    <row r="35" customFormat="false" ht="15" hidden="false" customHeight="false" outlineLevel="0" collapsed="false">
      <c r="A35" s="4" t="s">
        <v>536</v>
      </c>
    </row>
    <row r="36" customFormat="false" ht="15" hidden="false" customHeight="false" outlineLevel="0" collapsed="false">
      <c r="A36" s="5" t="s">
        <v>467</v>
      </c>
      <c r="B36" s="53" t="n">
        <f aca="false">INDEX($B$30:$D$30,MATCH(B27,$B$29:$D$29,0))</f>
        <v>1</v>
      </c>
    </row>
    <row r="37" customFormat="false" ht="15" hidden="false" customHeight="false" outlineLevel="0" collapsed="false">
      <c r="A37" s="5" t="s">
        <v>468</v>
      </c>
      <c r="B37" s="49" t="n">
        <f aca="false">INDEX($B$31:$D$31,MATCH(B27,$B$29:$D$29,0))</f>
        <v>1</v>
      </c>
    </row>
    <row r="38" customFormat="false" ht="15" hidden="false" customHeight="false" outlineLevel="0" collapsed="false">
      <c r="A38" s="5" t="s">
        <v>469</v>
      </c>
      <c r="B38" s="53" t="n">
        <f aca="false">INDEX($B$32:$D$32,MATCH(B27,$B$29:$D$29,0))</f>
        <v>0.15</v>
      </c>
    </row>
    <row r="39" customFormat="false" ht="15" hidden="false" customHeight="false" outlineLevel="0" collapsed="false">
      <c r="A39" s="5" t="s">
        <v>470</v>
      </c>
      <c r="B39" s="53" t="n">
        <f aca="false">INDEX($B$33:$D$33,MATCH(B27,$B$29:$D$29,0))</f>
        <v>0.85</v>
      </c>
    </row>
    <row r="41" customFormat="false" ht="15" hidden="false" customHeight="false" outlineLevel="0" collapsed="false">
      <c r="A41" s="3" t="s">
        <v>2</v>
      </c>
    </row>
  </sheetData>
  <dataValidations count="2">
    <dataValidation allowBlank="false" errorStyle="stop" operator="between" showDropDown="false" showErrorMessage="false" showInputMessage="false" sqref="B24" type="list">
      <formula1>"No,Yes"</formula1>
      <formula2>0</formula2>
    </dataValidation>
    <dataValidation allowBlank="false" errorStyle="stop" operator="between" showDropDown="false" showErrorMessage="false" showInputMessage="false" sqref="B27" type="list">
      <formula1>"Base,Bull,Bear"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8" min="1" style="0" width="20"/>
  </cols>
  <sheetData>
    <row r="1" customFormat="false" ht="19.7" hidden="false" customHeight="false" outlineLevel="0" collapsed="false">
      <c r="A1" s="1" t="s">
        <v>537</v>
      </c>
    </row>
    <row r="2" customFormat="false" ht="15" hidden="false" customHeight="false" outlineLevel="0" collapsed="false">
      <c r="A2" s="2" t="s">
        <v>538</v>
      </c>
    </row>
    <row r="3" customFormat="false" ht="15" hidden="false" customHeight="false" outlineLevel="0" collapsed="false">
      <c r="A3" s="3" t="s">
        <v>2</v>
      </c>
    </row>
    <row r="5" customFormat="false" ht="15" hidden="false" customHeight="false" outlineLevel="0" collapsed="false">
      <c r="A5" s="67" t="s">
        <v>539</v>
      </c>
      <c r="B5" s="68"/>
      <c r="C5" s="67" t="s">
        <v>19</v>
      </c>
      <c r="D5" s="68"/>
      <c r="E5" s="67" t="s">
        <v>357</v>
      </c>
      <c r="F5" s="68"/>
      <c r="G5" s="67" t="s">
        <v>472</v>
      </c>
      <c r="H5" s="68"/>
    </row>
    <row r="6" customFormat="false" ht="22.05" hidden="false" customHeight="false" outlineLevel="0" collapsed="false">
      <c r="A6" s="69" t="n">
        <f aca="false">AVERAGE('02 Raw Cost Data'!P11:P22)*12</f>
        <v>9422547.6934202</v>
      </c>
      <c r="B6" s="68"/>
      <c r="C6" s="70" t="n">
        <f aca="false">'04 Savings Attribution'!$D$127</f>
        <v>117</v>
      </c>
      <c r="D6" s="68"/>
      <c r="E6" s="70" t="n">
        <f aca="false">'04 Savings Attribution'!$D$128</f>
        <v>103</v>
      </c>
      <c r="F6" s="68"/>
      <c r="G6" s="69" t="n">
        <f aca="false">'04 Savings Attribution'!$D$133</f>
        <v>1872634.04129571</v>
      </c>
      <c r="H6" s="68"/>
    </row>
    <row r="7" customFormat="false" ht="15" hidden="false" customHeight="false" outlineLevel="0" collapsed="false">
      <c r="A7" s="67" t="s">
        <v>540</v>
      </c>
      <c r="B7" s="68"/>
      <c r="C7" s="67" t="s">
        <v>541</v>
      </c>
      <c r="D7" s="68"/>
      <c r="E7" s="67" t="s">
        <v>542</v>
      </c>
      <c r="F7" s="68"/>
      <c r="G7" s="67" t="s">
        <v>543</v>
      </c>
      <c r="H7" s="68"/>
    </row>
    <row r="9" customFormat="false" ht="15" hidden="false" customHeight="false" outlineLevel="0" collapsed="false">
      <c r="A9" s="67" t="s">
        <v>544</v>
      </c>
      <c r="B9" s="68"/>
      <c r="C9" s="67" t="s">
        <v>545</v>
      </c>
      <c r="D9" s="68"/>
      <c r="E9" s="67" t="s">
        <v>484</v>
      </c>
      <c r="F9" s="68"/>
      <c r="G9" s="67" t="s">
        <v>546</v>
      </c>
      <c r="H9" s="68"/>
    </row>
    <row r="10" customFormat="false" ht="22.05" hidden="false" customHeight="false" outlineLevel="0" collapsed="false">
      <c r="A10" s="69" t="n">
        <f aca="false">'04 Savings Attribution'!$D$131</f>
        <v>1693741.00166715</v>
      </c>
      <c r="B10" s="68"/>
      <c r="C10" s="69" t="n">
        <f aca="false">'07 ROI Analysis'!$B$26</f>
        <v>2833109.43028828</v>
      </c>
      <c r="D10" s="68"/>
      <c r="E10" s="71" t="n">
        <f aca="false">'07 ROI Analysis'!$B$30</f>
        <v>1.86342665024045</v>
      </c>
      <c r="F10" s="68"/>
      <c r="G10" s="72" t="n">
        <f aca="false">'07 ROI Analysis'!$B$32</f>
        <v>6.54707003896815</v>
      </c>
      <c r="H10" s="68"/>
    </row>
    <row r="11" customFormat="false" ht="15" hidden="false" customHeight="false" outlineLevel="0" collapsed="false">
      <c r="A11" s="67" t="s">
        <v>547</v>
      </c>
      <c r="B11" s="68"/>
      <c r="C11" s="67" t="s">
        <v>548</v>
      </c>
      <c r="D11" s="68"/>
      <c r="E11" s="67" t="s">
        <v>548</v>
      </c>
      <c r="F11" s="68"/>
      <c r="G11" s="67" t="s">
        <v>549</v>
      </c>
      <c r="H11" s="68"/>
    </row>
    <row r="13" customFormat="false" ht="15" hidden="false" customHeight="false" outlineLevel="0" collapsed="false">
      <c r="A13" s="67" t="s">
        <v>550</v>
      </c>
      <c r="B13" s="68"/>
      <c r="C13" s="73" t="s">
        <v>551</v>
      </c>
      <c r="D13" s="74"/>
      <c r="E13" s="67" t="s">
        <v>528</v>
      </c>
      <c r="F13" s="68"/>
      <c r="G13" s="67" t="s">
        <v>523</v>
      </c>
      <c r="H13" s="68"/>
    </row>
    <row r="14" customFormat="false" ht="22.05" hidden="false" customHeight="false" outlineLevel="0" collapsed="false">
      <c r="A14" s="75" t="n">
        <f aca="false">'05 Budget vs Actual'!$Z$18</f>
        <v>0.0719790762382018</v>
      </c>
      <c r="B14" s="68"/>
      <c r="C14" s="76" t="n">
        <f aca="false">'04 Savings Attribution'!$D$135</f>
        <v>450967.844452654</v>
      </c>
      <c r="D14" s="74"/>
      <c r="E14" s="77" t="str">
        <f aca="false">'10 Assumptions'!$B$27</f>
        <v>Base</v>
      </c>
      <c r="F14" s="68"/>
      <c r="G14" s="77" t="str">
        <f aca="false">IF('10 Assumptions'!$B$24="Yes","all estimates","parallel-trends gate")</f>
        <v>parallel-trends gate</v>
      </c>
      <c r="H14" s="68"/>
    </row>
    <row r="15" customFormat="false" ht="15" hidden="false" customHeight="false" outlineLevel="0" collapsed="false">
      <c r="A15" s="67" t="s">
        <v>552</v>
      </c>
      <c r="B15" s="68"/>
      <c r="C15" s="73" t="s">
        <v>553</v>
      </c>
      <c r="D15" s="74"/>
      <c r="E15" s="67"/>
      <c r="F15" s="68"/>
      <c r="G15" s="67"/>
      <c r="H15" s="68"/>
    </row>
    <row r="18" customFormat="false" ht="15" hidden="false" customHeight="false" outlineLevel="0" collapsed="false">
      <c r="A18" s="4" t="s">
        <v>554</v>
      </c>
    </row>
    <row r="19" customFormat="false" ht="15" hidden="false" customHeight="false" outlineLevel="0" collapsed="false">
      <c r="A19" s="9" t="s">
        <v>16</v>
      </c>
      <c r="B19" s="9" t="s">
        <v>555</v>
      </c>
    </row>
    <row r="20" customFormat="false" ht="15" hidden="false" customHeight="false" outlineLevel="0" collapsed="false">
      <c r="A20" s="5" t="s">
        <v>556</v>
      </c>
      <c r="B20" s="8" t="n">
        <f aca="false">'04 Savings Attribution'!$D$131</f>
        <v>1693741.00166715</v>
      </c>
    </row>
    <row r="21" customFormat="false" ht="15" hidden="false" customHeight="false" outlineLevel="0" collapsed="false">
      <c r="A21" s="5" t="s">
        <v>557</v>
      </c>
      <c r="B21" s="8" t="n">
        <f aca="false">'04 Savings Attribution'!$D$132</f>
        <v>1809486.902302</v>
      </c>
    </row>
    <row r="22" customFormat="false" ht="15" hidden="false" customHeight="false" outlineLevel="0" collapsed="false">
      <c r="A22" s="5" t="s">
        <v>558</v>
      </c>
      <c r="B22" s="8" t="n">
        <f aca="false">'04 Savings Attribution'!$D$133</f>
        <v>1872634.04129571</v>
      </c>
    </row>
    <row r="23" customFormat="false" ht="15" hidden="false" customHeight="false" outlineLevel="0" collapsed="false">
      <c r="A23" s="5" t="s">
        <v>559</v>
      </c>
      <c r="B23" s="8" t="n">
        <f aca="false">'04 Savings Attribution'!$D$134</f>
        <v>2020441.12594542</v>
      </c>
    </row>
    <row r="26" customFormat="false" ht="15" hidden="false" customHeight="false" outlineLevel="0" collapsed="false">
      <c r="A26" s="9" t="s">
        <v>69</v>
      </c>
      <c r="B26" s="9" t="s">
        <v>560</v>
      </c>
      <c r="C26" s="9" t="s">
        <v>561</v>
      </c>
    </row>
    <row r="27" customFormat="false" ht="15" hidden="false" customHeight="false" outlineLevel="0" collapsed="false">
      <c r="A27" s="78" t="n">
        <f aca="false">'05 Budget vs Actual'!A7</f>
        <v>45839</v>
      </c>
      <c r="B27" s="8" t="n">
        <f aca="false">'05 Budget vs Actual'!W7</f>
        <v>697239.814450194</v>
      </c>
      <c r="C27" s="8" t="n">
        <f aca="false">'05 Budget vs Actual'!X7</f>
        <v>723189.724863252</v>
      </c>
    </row>
    <row r="28" customFormat="false" ht="15" hidden="false" customHeight="false" outlineLevel="0" collapsed="false">
      <c r="A28" s="78" t="n">
        <f aca="false">'05 Budget vs Actual'!A8</f>
        <v>45870</v>
      </c>
      <c r="B28" s="8" t="n">
        <f aca="false">'05 Budget vs Actual'!W8</f>
        <v>705407.920949692</v>
      </c>
      <c r="C28" s="8" t="n">
        <f aca="false">'05 Budget vs Actual'!X8</f>
        <v>720339.020747283</v>
      </c>
    </row>
    <row r="29" customFormat="false" ht="15" hidden="false" customHeight="false" outlineLevel="0" collapsed="false">
      <c r="A29" s="78" t="n">
        <f aca="false">'05 Budget vs Actual'!A9</f>
        <v>45901</v>
      </c>
      <c r="B29" s="8" t="n">
        <f aca="false">'05 Budget vs Actual'!W9</f>
        <v>713671.716138224</v>
      </c>
      <c r="C29" s="8" t="n">
        <f aca="false">'05 Budget vs Actual'!X9</f>
        <v>726305.011220169</v>
      </c>
    </row>
    <row r="30" customFormat="false" ht="15" hidden="false" customHeight="false" outlineLevel="0" collapsed="false">
      <c r="A30" s="78" t="n">
        <f aca="false">'05 Budget vs Actual'!A10</f>
        <v>45931</v>
      </c>
      <c r="B30" s="8" t="n">
        <f aca="false">'05 Budget vs Actual'!W10</f>
        <v>722032.321000833</v>
      </c>
      <c r="C30" s="8" t="n">
        <f aca="false">'05 Budget vs Actual'!X10</f>
        <v>791709.564171059</v>
      </c>
    </row>
    <row r="31" customFormat="false" ht="15" hidden="false" customHeight="false" outlineLevel="0" collapsed="false">
      <c r="A31" s="78" t="n">
        <f aca="false">'05 Budget vs Actual'!A11</f>
        <v>45962</v>
      </c>
      <c r="B31" s="8" t="n">
        <f aca="false">'05 Budget vs Actual'!W11</f>
        <v>730490.869654806</v>
      </c>
      <c r="C31" s="8" t="n">
        <f aca="false">'05 Budget vs Actual'!X11</f>
        <v>801718.114206562</v>
      </c>
    </row>
    <row r="32" customFormat="false" ht="15" hidden="false" customHeight="false" outlineLevel="0" collapsed="false">
      <c r="A32" s="78" t="n">
        <f aca="false">'05 Budget vs Actual'!A12</f>
        <v>45992</v>
      </c>
      <c r="B32" s="8" t="n">
        <f aca="false">'05 Budget vs Actual'!W12</f>
        <v>739048.509503524</v>
      </c>
      <c r="C32" s="8" t="n">
        <f aca="false">'05 Budget vs Actual'!X12</f>
        <v>856377.911923435</v>
      </c>
    </row>
    <row r="33" customFormat="false" ht="15" hidden="false" customHeight="false" outlineLevel="0" collapsed="false">
      <c r="A33" s="78" t="n">
        <f aca="false">'05 Budget vs Actual'!A13</f>
        <v>46023</v>
      </c>
      <c r="B33" s="8" t="n">
        <f aca="false">'05 Budget vs Actual'!W13</f>
        <v>747706.401392099</v>
      </c>
      <c r="C33" s="8" t="n">
        <f aca="false">'05 Budget vs Actual'!X13</f>
        <v>804605.050189927</v>
      </c>
    </row>
    <row r="34" customFormat="false" ht="15" hidden="false" customHeight="false" outlineLevel="0" collapsed="false">
      <c r="A34" s="78" t="n">
        <f aca="false">'05 Budget vs Actual'!A14</f>
        <v>46054</v>
      </c>
      <c r="B34" s="8" t="n">
        <f aca="false">'05 Budget vs Actual'!W14</f>
        <v>756465.71976485</v>
      </c>
      <c r="C34" s="8" t="n">
        <f aca="false">'05 Budget vs Actual'!X14</f>
        <v>708434.429193675</v>
      </c>
    </row>
    <row r="35" customFormat="false" ht="15" hidden="false" customHeight="false" outlineLevel="0" collapsed="false">
      <c r="A35" s="78" t="n">
        <f aca="false">'05 Budget vs Actual'!A15</f>
        <v>46082</v>
      </c>
      <c r="B35" s="8" t="n">
        <f aca="false">'05 Budget vs Actual'!W15</f>
        <v>765327.652824612</v>
      </c>
      <c r="C35" s="8" t="n">
        <f aca="false">'05 Budget vs Actual'!X15</f>
        <v>870094.214371393</v>
      </c>
    </row>
    <row r="36" customFormat="false" ht="15" hidden="false" customHeight="false" outlineLevel="0" collapsed="false">
      <c r="A36" s="78" t="n">
        <f aca="false">'05 Budget vs Actual'!A16</f>
        <v>46113</v>
      </c>
      <c r="B36" s="8" t="n">
        <f aca="false">'05 Budget vs Actual'!W16</f>
        <v>774293.402693919</v>
      </c>
      <c r="C36" s="8" t="n">
        <f aca="false">'05 Budget vs Actual'!X16</f>
        <v>880808.739049616</v>
      </c>
    </row>
    <row r="37" customFormat="false" ht="15" hidden="false" customHeight="false" outlineLevel="0" collapsed="false">
      <c r="A37" s="78" t="n">
        <f aca="false">'05 Budget vs Actual'!A17</f>
        <v>46143</v>
      </c>
      <c r="B37" s="8" t="n">
        <f aca="false">'05 Budget vs Actual'!W17</f>
        <v>783364.185578069</v>
      </c>
      <c r="C37" s="8" t="n">
        <f aca="false">'05 Budget vs Actual'!X17</f>
        <v>837020.011201586</v>
      </c>
    </row>
    <row r="40" customFormat="false" ht="15" hidden="false" customHeight="false" outlineLevel="0" collapsed="false">
      <c r="A40" s="9" t="s">
        <v>70</v>
      </c>
      <c r="B40" s="9" t="s">
        <v>560</v>
      </c>
      <c r="C40" s="9" t="s">
        <v>561</v>
      </c>
    </row>
    <row r="41" customFormat="false" ht="15" hidden="false" customHeight="false" outlineLevel="0" collapsed="false">
      <c r="A41" s="5" t="s">
        <v>75</v>
      </c>
      <c r="B41" s="8" t="n">
        <f aca="false">'05 Budget vs Actual'!B18</f>
        <v>1855728.94402225</v>
      </c>
      <c r="C41" s="8" t="n">
        <f aca="false">'05 Budget vs Actual'!C18</f>
        <v>2013844.91645715</v>
      </c>
    </row>
    <row r="42" customFormat="false" ht="15" hidden="false" customHeight="false" outlineLevel="0" collapsed="false">
      <c r="A42" s="5" t="s">
        <v>76</v>
      </c>
      <c r="B42" s="8" t="n">
        <f aca="false">'05 Budget vs Actual'!E18</f>
        <v>1017822.74676823</v>
      </c>
      <c r="C42" s="8" t="n">
        <f aca="false">'05 Budget vs Actual'!F18</f>
        <v>1165464.95690797</v>
      </c>
    </row>
    <row r="43" customFormat="false" ht="15" hidden="false" customHeight="false" outlineLevel="0" collapsed="false">
      <c r="A43" s="5" t="s">
        <v>77</v>
      </c>
      <c r="B43" s="8" t="n">
        <f aca="false">'05 Budget vs Actual'!H18</f>
        <v>754985.316077392</v>
      </c>
      <c r="C43" s="8" t="n">
        <f aca="false">'05 Budget vs Actual'!I18</f>
        <v>750185.806886215</v>
      </c>
    </row>
    <row r="44" customFormat="false" ht="15" hidden="false" customHeight="false" outlineLevel="0" collapsed="false">
      <c r="A44" s="5" t="s">
        <v>78</v>
      </c>
      <c r="B44" s="8" t="n">
        <f aca="false">'05 Budget vs Actual'!K18</f>
        <v>1773020.68520012</v>
      </c>
      <c r="C44" s="8" t="n">
        <f aca="false">'05 Budget vs Actual'!L18</f>
        <v>1914114.74006887</v>
      </c>
    </row>
    <row r="45" customFormat="false" ht="15" hidden="false" customHeight="false" outlineLevel="0" collapsed="false">
      <c r="A45" s="5" t="s">
        <v>79</v>
      </c>
      <c r="B45" s="8" t="n">
        <f aca="false">'05 Budget vs Actual'!N18</f>
        <v>838909.699798109</v>
      </c>
      <c r="C45" s="8" t="n">
        <f aca="false">'05 Budget vs Actual'!O18</f>
        <v>841976.394844778</v>
      </c>
    </row>
    <row r="46" customFormat="false" ht="15" hidden="false" customHeight="false" outlineLevel="0" collapsed="false">
      <c r="A46" s="5" t="s">
        <v>80</v>
      </c>
      <c r="B46" s="8" t="n">
        <f aca="false">'05 Budget vs Actual'!Q18</f>
        <v>1018337.7031103</v>
      </c>
      <c r="C46" s="8" t="n">
        <f aca="false">'05 Budget vs Actual'!R18</f>
        <v>1113179.52950031</v>
      </c>
    </row>
    <row r="47" customFormat="false" ht="15" hidden="false" customHeight="false" outlineLevel="0" collapsed="false">
      <c r="A47" s="5" t="s">
        <v>81</v>
      </c>
      <c r="B47" s="8" t="n">
        <f aca="false">'05 Budget vs Actual'!T18</f>
        <v>876243.418974416</v>
      </c>
      <c r="C47" s="8" t="n">
        <f aca="false">'05 Budget vs Actual'!U18</f>
        <v>921835.446472669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2026-09-07T19:41:44Z</dcterms:created>
  <dc:creator>openpyxl</dc:creator>
  <dc:description/>
  <dc:language>en-US</dc:language>
  <cp:lastModifiedBy/>
  <dcterms:modified xsi:type="dcterms:W3CDTF">2026-09-07T19:41:47Z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